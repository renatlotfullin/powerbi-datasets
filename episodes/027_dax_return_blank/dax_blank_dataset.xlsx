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66ad335eae59435/exceltip/3-Школа Excel/05 Power BI/07 Promo/YouTube/027 dax_returns_blank/"/>
    </mc:Choice>
  </mc:AlternateContent>
  <xr:revisionPtr revIDLastSave="4" documentId="11_927A166FFFF4AF8619995FAF2B1515B035C4A765" xr6:coauthVersionLast="47" xr6:coauthVersionMax="47" xr10:uidLastSave="{EC551431-43EB-4C1A-9D6F-635CCAE078FE}"/>
  <bookViews>
    <workbookView xWindow="-120" yWindow="-120" windowWidth="29040" windowHeight="15720" activeTab="1" xr2:uid="{00000000-000D-0000-FFFF-FFFF00000000}"/>
  </bookViews>
  <sheets>
    <sheet name="Как использовать" sheetId="1" r:id="rId1"/>
    <sheet name="Продажи" sheetId="2" r:id="rId2"/>
    <sheet name="Товары" sheetId="3" r:id="rId3"/>
    <sheet name="Календарь" sheetId="4" r:id="rId4"/>
    <sheet name="Регионы" sheetId="5" r:id="rId5"/>
    <sheet name="Регионы ошибка" sheetId="6" r:id="rId6"/>
    <sheet name="Проверка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7" l="1"/>
  <c r="D9" i="7" s="1"/>
  <c r="B8" i="7"/>
  <c r="D8" i="7" s="1"/>
  <c r="B7" i="7"/>
  <c r="D7" i="7" s="1"/>
  <c r="B6" i="7"/>
  <c r="D6" i="7" s="1"/>
  <c r="B5" i="7"/>
  <c r="D5" i="7" s="1"/>
  <c r="B4" i="7"/>
  <c r="D4" i="7" s="1"/>
</calcChain>
</file>

<file path=xl/sharedStrings.xml><?xml version="1.0" encoding="utf-8"?>
<sst xmlns="http://schemas.openxmlformats.org/spreadsheetml/2006/main" count="635" uniqueCount="156">
  <si>
    <t>Почему мера DAX возвращает BLANK</t>
  </si>
  <si>
    <t>Модель</t>
  </si>
  <si>
    <t>Календарь[Дата] (1) → Продажи[Дата] (*), Товары[ProductID] (1) → Продажи[ProductID] (*), Регионы[RegionID] (1) → Продажи[RegionID] (*).</t>
  </si>
  <si>
    <t>Учебные ситуации</t>
  </si>
  <si>
    <t>1. P006 «Новинка: печенье» есть в справочнике, но отсутствует в продажах.</t>
  </si>
  <si>
    <t>2. Канала «Опт» в продажах нет. Фильтр по нему исключит все строки.</t>
  </si>
  <si>
    <t>3. У P005 «Гранола» не задан план. DIVIDE не получит знаменатель.</t>
  </si>
  <si>
    <t>4. SELECTEDVALUE вернёт BLANK, если в контексте несколько товаров.</t>
  </si>
  <si>
    <t>5. Ключи X01–X03 из «Регионы ошибка» не совпадают с R01–R03 в продажах.</t>
  </si>
  <si>
    <t>Диагностика</t>
  </si>
  <si>
    <t>Добавьте меру COUNTROWS('Продажи'), проверьте фильтры и промежуточные меры, затем связи и совпадение ключей.</t>
  </si>
  <si>
    <t>COALESCE</t>
  </si>
  <si>
    <t>Заменяйте BLANK на 0 только после диагностики. Ноль может скрыть отсутствующий план или ошибку модели.</t>
  </si>
  <si>
    <t>SaleID</t>
  </si>
  <si>
    <t>Дата</t>
  </si>
  <si>
    <t>ProductID</t>
  </si>
  <si>
    <t>RegionID</t>
  </si>
  <si>
    <t>Канал</t>
  </si>
  <si>
    <t>Количество, шт.</t>
  </si>
  <si>
    <t>Выручка, руб.</t>
  </si>
  <si>
    <t>S-0001</t>
  </si>
  <si>
    <t>P001</t>
  </si>
  <si>
    <t>R01</t>
  </si>
  <si>
    <t>Розница</t>
  </si>
  <si>
    <t>S-0002</t>
  </si>
  <si>
    <t>P002</t>
  </si>
  <si>
    <t>R02</t>
  </si>
  <si>
    <t>Онлайн</t>
  </si>
  <si>
    <t>S-0003</t>
  </si>
  <si>
    <t>P003</t>
  </si>
  <si>
    <t>R03</t>
  </si>
  <si>
    <t>S-0004</t>
  </si>
  <si>
    <t>P004</t>
  </si>
  <si>
    <t>S-0005</t>
  </si>
  <si>
    <t>P005</t>
  </si>
  <si>
    <t>S-0006</t>
  </si>
  <si>
    <t>S-0007</t>
  </si>
  <si>
    <t>S-0008</t>
  </si>
  <si>
    <t>S-0009</t>
  </si>
  <si>
    <t>S-0010</t>
  </si>
  <si>
    <t>S-0011</t>
  </si>
  <si>
    <t>S-0012</t>
  </si>
  <si>
    <t>S-0013</t>
  </si>
  <si>
    <t>S-0014</t>
  </si>
  <si>
    <t>S-0015</t>
  </si>
  <si>
    <t>S-0016</t>
  </si>
  <si>
    <t>S-0017</t>
  </si>
  <si>
    <t>S-0018</t>
  </si>
  <si>
    <t>S-0019</t>
  </si>
  <si>
    <t>S-0020</t>
  </si>
  <si>
    <t>S-0021</t>
  </si>
  <si>
    <t>S-0022</t>
  </si>
  <si>
    <t>S-0023</t>
  </si>
  <si>
    <t>S-0024</t>
  </si>
  <si>
    <t>S-0025</t>
  </si>
  <si>
    <t>S-0026</t>
  </si>
  <si>
    <t>S-0027</t>
  </si>
  <si>
    <t>S-0028</t>
  </si>
  <si>
    <t>S-0029</t>
  </si>
  <si>
    <t>S-0030</t>
  </si>
  <si>
    <t>S-0031</t>
  </si>
  <si>
    <t>S-0032</t>
  </si>
  <si>
    <t>S-0033</t>
  </si>
  <si>
    <t>S-0034</t>
  </si>
  <si>
    <t>S-0035</t>
  </si>
  <si>
    <t>S-0036</t>
  </si>
  <si>
    <t>S-0037</t>
  </si>
  <si>
    <t>S-0038</t>
  </si>
  <si>
    <t>S-0039</t>
  </si>
  <si>
    <t>S-0040</t>
  </si>
  <si>
    <t>S-0041</t>
  </si>
  <si>
    <t>S-0042</t>
  </si>
  <si>
    <t>S-0043</t>
  </si>
  <si>
    <t>S-0044</t>
  </si>
  <si>
    <t>S-0045</t>
  </si>
  <si>
    <t>S-0046</t>
  </si>
  <si>
    <t>S-0047</t>
  </si>
  <si>
    <t>S-0048</t>
  </si>
  <si>
    <t>S-0049</t>
  </si>
  <si>
    <t>S-0050</t>
  </si>
  <si>
    <t>S-0051</t>
  </si>
  <si>
    <t>S-0052</t>
  </si>
  <si>
    <t>S-0053</t>
  </si>
  <si>
    <t>S-0054</t>
  </si>
  <si>
    <t>S-0055</t>
  </si>
  <si>
    <t>S-0056</t>
  </si>
  <si>
    <t>S-0057</t>
  </si>
  <si>
    <t>S-0058</t>
  </si>
  <si>
    <t>S-0059</t>
  </si>
  <si>
    <t>S-0060</t>
  </si>
  <si>
    <t>S-0061</t>
  </si>
  <si>
    <t>S-0062</t>
  </si>
  <si>
    <t>S-0063</t>
  </si>
  <si>
    <t>S-0064</t>
  </si>
  <si>
    <t>S-0065</t>
  </si>
  <si>
    <t>S-0066</t>
  </si>
  <si>
    <t>S-0067</t>
  </si>
  <si>
    <t>S-0068</t>
  </si>
  <si>
    <t>S-0069</t>
  </si>
  <si>
    <t>S-0070</t>
  </si>
  <si>
    <t>S-0071</t>
  </si>
  <si>
    <t>S-0072</t>
  </si>
  <si>
    <t>S-0073</t>
  </si>
  <si>
    <t>S-0074</t>
  </si>
  <si>
    <t>S-0075</t>
  </si>
  <si>
    <t>S-0076</t>
  </si>
  <si>
    <t>S-0077</t>
  </si>
  <si>
    <t>S-0078</t>
  </si>
  <si>
    <t>S-0079</t>
  </si>
  <si>
    <t>S-0080</t>
  </si>
  <si>
    <t>Товар</t>
  </si>
  <si>
    <t>Категория</t>
  </si>
  <si>
    <t>План выручки, руб.</t>
  </si>
  <si>
    <t>Шоколад 100 г</t>
  </si>
  <si>
    <t>Шоколад</t>
  </si>
  <si>
    <t>Протеиновый батончик</t>
  </si>
  <si>
    <t>Батончики</t>
  </si>
  <si>
    <t>Крекер солёный</t>
  </si>
  <si>
    <t>Крекеры</t>
  </si>
  <si>
    <t>Крекер сырный</t>
  </si>
  <si>
    <t>Гранола</t>
  </si>
  <si>
    <t>Завтраки</t>
  </si>
  <si>
    <t>P006</t>
  </si>
  <si>
    <t>Новинка: печенье</t>
  </si>
  <si>
    <t>Печенье</t>
  </si>
  <si>
    <t>Год</t>
  </si>
  <si>
    <t>Номер месяца</t>
  </si>
  <si>
    <t>Месяц</t>
  </si>
  <si>
    <t>Период</t>
  </si>
  <si>
    <t>Сортировка периода</t>
  </si>
  <si>
    <t>Январь</t>
  </si>
  <si>
    <t>P01'26</t>
  </si>
  <si>
    <t>Февраль</t>
  </si>
  <si>
    <t>P02'26</t>
  </si>
  <si>
    <t>Март</t>
  </si>
  <si>
    <t>P03'26</t>
  </si>
  <si>
    <t>Апрель</t>
  </si>
  <si>
    <t>P04'26</t>
  </si>
  <si>
    <t>Регион</t>
  </si>
  <si>
    <t>Север</t>
  </si>
  <si>
    <t>Центр</t>
  </si>
  <si>
    <t>Юг</t>
  </si>
  <si>
    <t>X01</t>
  </si>
  <si>
    <t>X02</t>
  </si>
  <si>
    <t>X03</t>
  </si>
  <si>
    <t>Контроль учебного датасета</t>
  </si>
  <si>
    <t>Проверка</t>
  </si>
  <si>
    <t>Фактическое значение</t>
  </si>
  <si>
    <t>Ожидается</t>
  </si>
  <si>
    <t>Разница</t>
  </si>
  <si>
    <t>Строк продаж</t>
  </si>
  <si>
    <t>Продаж P006</t>
  </si>
  <si>
    <t>Строк канала Опт</t>
  </si>
  <si>
    <t>Товаров без плана</t>
  </si>
  <si>
    <t>Продаж с ключами X01–X03</t>
  </si>
  <si>
    <t>Продаж с ключами R01–R03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</si>
</sst>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sz val="10"/>
      <color rgb="FF222222"/>
      <name val="Arial"/>
    </font>
    <font>
      <b/>
      <sz val="10"/>
      <color rgb="FFFFFFFF"/>
      <name val="Arial"/>
    </font>
    <font>
      <b/>
      <sz val="16"/>
      <color rgb="FF1F1F1F"/>
      <name val="Arial"/>
    </font>
    <font>
      <sz val="11"/>
      <color rgb="FF222222"/>
      <name val="Arial"/>
    </font>
    <font>
      <b/>
      <sz val="11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6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1" fillId="0" borderId="0" xfId="0" applyNumberFormat="1" applyFont="1"/>
    <xf numFmtId="0" fontId="1" fillId="3" borderId="0" xfId="0" applyFont="1" applyFill="1"/>
    <xf numFmtId="164" fontId="1" fillId="0" borderId="0" xfId="0" applyNumberFormat="1" applyFont="1"/>
    <xf numFmtId="0" fontId="4" fillId="0" borderId="0" xfId="0" applyFont="1" applyAlignment="1">
      <alignment wrapText="1"/>
    </xf>
    <xf numFmtId="14" fontId="1" fillId="0" borderId="0" xfId="0" applyNumberFormat="1" applyFont="1"/>
    <xf numFmtId="0" fontId="3" fillId="0" borderId="0" xfId="0" applyFont="1"/>
    <xf numFmtId="0" fontId="5" fillId="2" borderId="0" xfId="0" applyFont="1" applyFill="1"/>
    <xf numFmtId="0" fontId="4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1"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SalesTable" displayName="SalesTable" ref="A1:G81" totalsRowShown="0">
  <autoFilter ref="A1:G81" xr:uid="{00000000-000C-0000-FFFF-FFFF00000000}"/>
  <tableColumns count="7">
    <tableColumn id="1" xr3:uid="{00000000-0010-0000-0000-000001000000}" name="SaleID"/>
    <tableColumn id="2" xr3:uid="{00000000-0010-0000-0000-000002000000}" name="Дата"/>
    <tableColumn id="3" xr3:uid="{00000000-0010-0000-0000-000003000000}" name="ProductID"/>
    <tableColumn id="4" xr3:uid="{00000000-0010-0000-0000-000004000000}" name="RegionID"/>
    <tableColumn id="5" xr3:uid="{00000000-0010-0000-0000-000005000000}" name="Канал"/>
    <tableColumn id="6" xr3:uid="{00000000-0010-0000-0000-000006000000}" name="Количество, шт."/>
    <tableColumn id="7" xr3:uid="{00000000-0010-0000-0000-000007000000}" name="Выручка, руб.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ProductsTable" displayName="ProductsTable" ref="A1:D7" totalsRowShown="0">
  <tableColumns count="4">
    <tableColumn id="1" xr3:uid="{00000000-0010-0000-0100-000001000000}" name="ProductID"/>
    <tableColumn id="2" xr3:uid="{00000000-0010-0000-0100-000002000000}" name="Товар"/>
    <tableColumn id="3" xr3:uid="{00000000-0010-0000-0100-000003000000}" name="Категория"/>
    <tableColumn id="4" xr3:uid="{00000000-0010-0000-0100-000004000000}" name="План выручки, руб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CalendarTable" displayName="CalendarTable" ref="A1:F121" totalsRowShown="0">
  <tableColumns count="6">
    <tableColumn id="1" xr3:uid="{00000000-0010-0000-0200-000001000000}" name="Дата"/>
    <tableColumn id="2" xr3:uid="{00000000-0010-0000-0200-000002000000}" name="Год"/>
    <tableColumn id="3" xr3:uid="{00000000-0010-0000-0200-000003000000}" name="Номер месяца"/>
    <tableColumn id="4" xr3:uid="{00000000-0010-0000-0200-000004000000}" name="Месяц"/>
    <tableColumn id="5" xr3:uid="{00000000-0010-0000-0200-000005000000}" name="Период"/>
    <tableColumn id="6" xr3:uid="{00000000-0010-0000-0200-000006000000}" name="Сортировка периода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RegionsTable" displayName="RegionsTable" ref="A1:B4" totalsRowShown="0">
  <tableColumns count="2">
    <tableColumn id="1" xr3:uid="{00000000-0010-0000-0300-000001000000}" name="RegionID"/>
    <tableColumn id="2" xr3:uid="{00000000-0010-0000-0300-000002000000}" name="Регион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4000000}" name="WrongRegionsTable" displayName="WrongRegionsTable" ref="A1:B4" totalsRowShown="0">
  <tableColumns count="2">
    <tableColumn id="1" xr3:uid="{00000000-0010-0000-0400-000001000000}" name="RegionID"/>
    <tableColumn id="2" xr3:uid="{00000000-0010-0000-0400-000002000000}" name="Регион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ChecksTable" displayName="ChecksTable" ref="A3:D9" totalsRowShown="0">
  <tableColumns count="4">
    <tableColumn id="1" xr3:uid="{00000000-0010-0000-0500-000001000000}" name="Проверка"/>
    <tableColumn id="2" xr3:uid="{00000000-0010-0000-0500-000002000000}" name="Фактическое значение"/>
    <tableColumn id="3" xr3:uid="{00000000-0010-0000-0500-000003000000}" name="Ожидается"/>
    <tableColumn id="4" xr3:uid="{00000000-0010-0000-0500-000004000000}" name="Разниц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F17"/>
  <sheetViews>
    <sheetView showGridLines="0" workbookViewId="0">
      <selection sqref="A1:F1"/>
    </sheetView>
  </sheetViews>
  <sheetFormatPr defaultRowHeight="14.25"/>
  <cols>
    <col min="1" max="6" width="19" customWidth="1"/>
  </cols>
  <sheetData>
    <row r="1" spans="1:6" ht="27.95" customHeight="1">
      <c r="A1" s="8" t="s">
        <v>0</v>
      </c>
      <c r="B1" s="8"/>
      <c r="C1" s="8"/>
      <c r="D1" s="8"/>
      <c r="E1" s="8"/>
      <c r="F1" s="8"/>
    </row>
    <row r="3" spans="1:6" ht="24" customHeight="1">
      <c r="A3" s="9" t="s">
        <v>1</v>
      </c>
      <c r="B3" s="9"/>
      <c r="C3" s="9"/>
      <c r="D3" s="9"/>
      <c r="E3" s="9"/>
      <c r="F3" s="9"/>
    </row>
    <row r="4" spans="1:6" ht="27" customHeight="1">
      <c r="A4" s="10" t="s">
        <v>2</v>
      </c>
      <c r="B4" s="10"/>
      <c r="C4" s="10"/>
      <c r="D4" s="10"/>
      <c r="E4" s="10"/>
      <c r="F4" s="10"/>
    </row>
    <row r="5" spans="1:6" ht="27" customHeight="1">
      <c r="A5" s="6"/>
      <c r="B5" s="6"/>
      <c r="C5" s="6"/>
      <c r="D5" s="6"/>
      <c r="E5" s="6"/>
      <c r="F5" s="6"/>
    </row>
    <row r="6" spans="1:6" ht="27" customHeight="1">
      <c r="A6" s="11" t="s">
        <v>3</v>
      </c>
      <c r="B6" s="11"/>
      <c r="C6" s="11"/>
      <c r="D6" s="11"/>
      <c r="E6" s="11"/>
      <c r="F6" s="11"/>
    </row>
    <row r="7" spans="1:6" ht="27" customHeight="1">
      <c r="A7" s="12" t="s">
        <v>4</v>
      </c>
      <c r="B7" s="12"/>
      <c r="C7" s="12"/>
      <c r="D7" s="12"/>
      <c r="E7" s="12"/>
      <c r="F7" s="12"/>
    </row>
    <row r="8" spans="1:6" ht="27" customHeight="1">
      <c r="A8" s="12" t="s">
        <v>5</v>
      </c>
      <c r="B8" s="12"/>
      <c r="C8" s="12"/>
      <c r="D8" s="12"/>
      <c r="E8" s="12"/>
      <c r="F8" s="12"/>
    </row>
    <row r="9" spans="1:6" ht="27" customHeight="1">
      <c r="A9" s="12" t="s">
        <v>6</v>
      </c>
      <c r="B9" s="12"/>
      <c r="C9" s="12"/>
      <c r="D9" s="12"/>
      <c r="E9" s="12"/>
      <c r="F9" s="12"/>
    </row>
    <row r="10" spans="1:6" ht="27" customHeight="1">
      <c r="A10" s="12" t="s">
        <v>7</v>
      </c>
      <c r="B10" s="12"/>
      <c r="C10" s="12"/>
      <c r="D10" s="12"/>
      <c r="E10" s="12"/>
      <c r="F10" s="12"/>
    </row>
    <row r="11" spans="1:6" ht="27" customHeight="1">
      <c r="A11" s="12" t="s">
        <v>8</v>
      </c>
      <c r="B11" s="12"/>
      <c r="C11" s="12"/>
      <c r="D11" s="12"/>
      <c r="E11" s="12"/>
      <c r="F11" s="12"/>
    </row>
    <row r="12" spans="1:6" ht="27" customHeight="1">
      <c r="A12" s="6"/>
      <c r="B12" s="6"/>
      <c r="C12" s="6"/>
      <c r="D12" s="6"/>
      <c r="E12" s="6"/>
      <c r="F12" s="6"/>
    </row>
    <row r="13" spans="1:6" ht="27" customHeight="1">
      <c r="A13" s="11" t="s">
        <v>9</v>
      </c>
      <c r="B13" s="11"/>
      <c r="C13" s="11"/>
      <c r="D13" s="11"/>
      <c r="E13" s="11"/>
      <c r="F13" s="11"/>
    </row>
    <row r="14" spans="1:6" ht="27" customHeight="1">
      <c r="A14" s="10" t="s">
        <v>10</v>
      </c>
      <c r="B14" s="10"/>
      <c r="C14" s="10"/>
      <c r="D14" s="10"/>
      <c r="E14" s="10"/>
      <c r="F14" s="10"/>
    </row>
    <row r="15" spans="1:6" ht="27" customHeight="1">
      <c r="A15" s="6"/>
      <c r="B15" s="6"/>
      <c r="C15" s="6"/>
      <c r="D15" s="6"/>
      <c r="E15" s="6"/>
      <c r="F15" s="6"/>
    </row>
    <row r="16" spans="1:6" ht="27" customHeight="1">
      <c r="A16" s="11" t="s">
        <v>11</v>
      </c>
      <c r="B16" s="11"/>
      <c r="C16" s="11"/>
      <c r="D16" s="11"/>
      <c r="E16" s="11"/>
      <c r="F16" s="11"/>
    </row>
    <row r="17" spans="1:6" ht="27" customHeight="1">
      <c r="A17" s="10" t="s">
        <v>12</v>
      </c>
      <c r="B17" s="10"/>
      <c r="C17" s="10"/>
      <c r="D17" s="10"/>
      <c r="E17" s="10"/>
      <c r="F17" s="10"/>
    </row>
  </sheetData>
  <mergeCells count="13">
    <mergeCell ref="A14:F14"/>
    <mergeCell ref="A16:F16"/>
    <mergeCell ref="A17:F17"/>
    <mergeCell ref="A8:F8"/>
    <mergeCell ref="A9:F9"/>
    <mergeCell ref="A10:F10"/>
    <mergeCell ref="A11:F11"/>
    <mergeCell ref="A13:F13"/>
    <mergeCell ref="A1:F1"/>
    <mergeCell ref="A3:F3"/>
    <mergeCell ref="A4:F4"/>
    <mergeCell ref="A6:F6"/>
    <mergeCell ref="A7:F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</sheetPr>
  <dimension ref="A1:G81"/>
  <sheetViews>
    <sheetView showGridLines="0" tabSelected="1" zoomScale="175" zoomScaleNormal="175" workbookViewId="0">
      <pane ySplit="1" topLeftCell="A2" activePane="bottomLeft" state="frozen"/>
      <selection pane="bottomLeft" activeCell="G1" sqref="G1:G1048576"/>
    </sheetView>
  </sheetViews>
  <sheetFormatPr defaultRowHeight="14.25"/>
  <cols>
    <col min="1" max="1" width="12" customWidth="1"/>
    <col min="2" max="2" width="16.625" customWidth="1"/>
    <col min="3" max="4" width="12" customWidth="1"/>
    <col min="5" max="5" width="14" customWidth="1"/>
    <col min="6" max="6" width="17" customWidth="1"/>
    <col min="7" max="7" width="18" customWidth="1"/>
  </cols>
  <sheetData>
    <row r="1" spans="1:7" ht="30" customHeight="1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>
      <c r="A2" s="1" t="s">
        <v>20</v>
      </c>
      <c r="B2" s="7">
        <v>46028</v>
      </c>
      <c r="C2" s="1" t="s">
        <v>21</v>
      </c>
      <c r="D2" s="1" t="s">
        <v>22</v>
      </c>
      <c r="E2" s="1" t="s">
        <v>23</v>
      </c>
      <c r="F2" s="3">
        <v>8</v>
      </c>
      <c r="G2" s="3">
        <v>6800</v>
      </c>
    </row>
    <row r="3" spans="1:7">
      <c r="A3" s="1" t="s">
        <v>24</v>
      </c>
      <c r="B3" s="5">
        <v>46028</v>
      </c>
      <c r="C3" s="1" t="s">
        <v>25</v>
      </c>
      <c r="D3" s="1" t="s">
        <v>26</v>
      </c>
      <c r="E3" s="1" t="s">
        <v>27</v>
      </c>
      <c r="F3" s="3">
        <v>11</v>
      </c>
      <c r="G3" s="3">
        <v>10725</v>
      </c>
    </row>
    <row r="4" spans="1:7">
      <c r="A4" s="1" t="s">
        <v>28</v>
      </c>
      <c r="B4" s="5">
        <v>46033</v>
      </c>
      <c r="C4" s="1" t="s">
        <v>29</v>
      </c>
      <c r="D4" s="1" t="s">
        <v>30</v>
      </c>
      <c r="E4" s="1" t="s">
        <v>23</v>
      </c>
      <c r="F4" s="3">
        <v>14</v>
      </c>
      <c r="G4" s="3">
        <v>15400</v>
      </c>
    </row>
    <row r="5" spans="1:7">
      <c r="A5" s="1" t="s">
        <v>31</v>
      </c>
      <c r="B5" s="5">
        <v>46038</v>
      </c>
      <c r="C5" s="1" t="s">
        <v>32</v>
      </c>
      <c r="D5" s="1" t="s">
        <v>22</v>
      </c>
      <c r="E5" s="1" t="s">
        <v>27</v>
      </c>
      <c r="F5" s="3">
        <v>17</v>
      </c>
      <c r="G5" s="3">
        <v>20825</v>
      </c>
    </row>
    <row r="6" spans="1:7">
      <c r="A6" s="1" t="s">
        <v>33</v>
      </c>
      <c r="B6" s="5">
        <v>46043</v>
      </c>
      <c r="C6" s="1" t="s">
        <v>34</v>
      </c>
      <c r="D6" s="1" t="s">
        <v>26</v>
      </c>
      <c r="E6" s="1" t="s">
        <v>23</v>
      </c>
      <c r="F6" s="3">
        <v>20</v>
      </c>
      <c r="G6" s="3">
        <v>27000</v>
      </c>
    </row>
    <row r="7" spans="1:7">
      <c r="A7" s="1" t="s">
        <v>35</v>
      </c>
      <c r="B7" s="5">
        <v>46048</v>
      </c>
      <c r="C7" s="1" t="s">
        <v>21</v>
      </c>
      <c r="D7" s="1" t="s">
        <v>30</v>
      </c>
      <c r="E7" s="1" t="s">
        <v>27</v>
      </c>
      <c r="F7" s="3">
        <v>23</v>
      </c>
      <c r="G7" s="3">
        <v>19550</v>
      </c>
    </row>
    <row r="8" spans="1:7">
      <c r="A8" s="1" t="s">
        <v>36</v>
      </c>
      <c r="B8" s="5">
        <v>46026</v>
      </c>
      <c r="C8" s="1" t="s">
        <v>25</v>
      </c>
      <c r="D8" s="1" t="s">
        <v>22</v>
      </c>
      <c r="E8" s="1" t="s">
        <v>23</v>
      </c>
      <c r="F8" s="3">
        <v>26</v>
      </c>
      <c r="G8" s="3">
        <v>25350</v>
      </c>
    </row>
    <row r="9" spans="1:7">
      <c r="A9" s="1" t="s">
        <v>37</v>
      </c>
      <c r="B9" s="5">
        <v>46031</v>
      </c>
      <c r="C9" s="1" t="s">
        <v>29</v>
      </c>
      <c r="D9" s="1" t="s">
        <v>26</v>
      </c>
      <c r="E9" s="1" t="s">
        <v>27</v>
      </c>
      <c r="F9" s="3">
        <v>29</v>
      </c>
      <c r="G9" s="3">
        <v>31900</v>
      </c>
    </row>
    <row r="10" spans="1:7">
      <c r="A10" s="1" t="s">
        <v>38</v>
      </c>
      <c r="B10" s="5">
        <v>46036</v>
      </c>
      <c r="C10" s="1" t="s">
        <v>32</v>
      </c>
      <c r="D10" s="1" t="s">
        <v>30</v>
      </c>
      <c r="E10" s="1" t="s">
        <v>23</v>
      </c>
      <c r="F10" s="3">
        <v>9</v>
      </c>
      <c r="G10" s="3">
        <v>11025</v>
      </c>
    </row>
    <row r="11" spans="1:7">
      <c r="A11" s="1" t="s">
        <v>39</v>
      </c>
      <c r="B11" s="5">
        <v>46041</v>
      </c>
      <c r="C11" s="1" t="s">
        <v>34</v>
      </c>
      <c r="D11" s="1" t="s">
        <v>22</v>
      </c>
      <c r="E11" s="1" t="s">
        <v>27</v>
      </c>
      <c r="F11" s="3">
        <v>12</v>
      </c>
      <c r="G11" s="3">
        <v>16200</v>
      </c>
    </row>
    <row r="12" spans="1:7">
      <c r="A12" s="1" t="s">
        <v>40</v>
      </c>
      <c r="B12" s="5">
        <v>46046</v>
      </c>
      <c r="C12" s="1" t="s">
        <v>21</v>
      </c>
      <c r="D12" s="1" t="s">
        <v>26</v>
      </c>
      <c r="E12" s="1" t="s">
        <v>23</v>
      </c>
      <c r="F12" s="3">
        <v>15</v>
      </c>
      <c r="G12" s="3">
        <v>12750</v>
      </c>
    </row>
    <row r="13" spans="1:7">
      <c r="A13" s="1" t="s">
        <v>41</v>
      </c>
      <c r="B13" s="5">
        <v>46024</v>
      </c>
      <c r="C13" s="1" t="s">
        <v>25</v>
      </c>
      <c r="D13" s="1" t="s">
        <v>30</v>
      </c>
      <c r="E13" s="1" t="s">
        <v>27</v>
      </c>
      <c r="F13" s="3">
        <v>18</v>
      </c>
      <c r="G13" s="3">
        <v>17550</v>
      </c>
    </row>
    <row r="14" spans="1:7">
      <c r="A14" s="1" t="s">
        <v>42</v>
      </c>
      <c r="B14" s="5">
        <v>46029</v>
      </c>
      <c r="C14" s="1" t="s">
        <v>29</v>
      </c>
      <c r="D14" s="1" t="s">
        <v>22</v>
      </c>
      <c r="E14" s="1" t="s">
        <v>23</v>
      </c>
      <c r="F14" s="3">
        <v>21</v>
      </c>
      <c r="G14" s="3">
        <v>23100</v>
      </c>
    </row>
    <row r="15" spans="1:7">
      <c r="A15" s="1" t="s">
        <v>43</v>
      </c>
      <c r="B15" s="5">
        <v>46034</v>
      </c>
      <c r="C15" s="1" t="s">
        <v>32</v>
      </c>
      <c r="D15" s="1" t="s">
        <v>26</v>
      </c>
      <c r="E15" s="1" t="s">
        <v>27</v>
      </c>
      <c r="F15" s="3">
        <v>24</v>
      </c>
      <c r="G15" s="3">
        <v>29400</v>
      </c>
    </row>
    <row r="16" spans="1:7">
      <c r="A16" s="1" t="s">
        <v>44</v>
      </c>
      <c r="B16" s="5">
        <v>46039</v>
      </c>
      <c r="C16" s="1" t="s">
        <v>34</v>
      </c>
      <c r="D16" s="1" t="s">
        <v>30</v>
      </c>
      <c r="E16" s="1" t="s">
        <v>23</v>
      </c>
      <c r="F16" s="3">
        <v>27</v>
      </c>
      <c r="G16" s="3">
        <v>36450</v>
      </c>
    </row>
    <row r="17" spans="1:7">
      <c r="A17" s="1" t="s">
        <v>45</v>
      </c>
      <c r="B17" s="5">
        <v>46044</v>
      </c>
      <c r="C17" s="1" t="s">
        <v>21</v>
      </c>
      <c r="D17" s="1" t="s">
        <v>22</v>
      </c>
      <c r="E17" s="1" t="s">
        <v>27</v>
      </c>
      <c r="F17" s="3">
        <v>30</v>
      </c>
      <c r="G17" s="3">
        <v>25500</v>
      </c>
    </row>
    <row r="18" spans="1:7">
      <c r="A18" s="1" t="s">
        <v>46</v>
      </c>
      <c r="B18" s="5">
        <v>46049</v>
      </c>
      <c r="C18" s="1" t="s">
        <v>25</v>
      </c>
      <c r="D18" s="1" t="s">
        <v>26</v>
      </c>
      <c r="E18" s="1" t="s">
        <v>23</v>
      </c>
      <c r="F18" s="3">
        <v>10</v>
      </c>
      <c r="G18" s="3">
        <v>9750</v>
      </c>
    </row>
    <row r="19" spans="1:7">
      <c r="A19" s="1" t="s">
        <v>47</v>
      </c>
      <c r="B19" s="5">
        <v>46027</v>
      </c>
      <c r="C19" s="1" t="s">
        <v>29</v>
      </c>
      <c r="D19" s="1" t="s">
        <v>30</v>
      </c>
      <c r="E19" s="1" t="s">
        <v>27</v>
      </c>
      <c r="F19" s="3">
        <v>13</v>
      </c>
      <c r="G19" s="3">
        <v>14300</v>
      </c>
    </row>
    <row r="20" spans="1:7">
      <c r="A20" s="1" t="s">
        <v>48</v>
      </c>
      <c r="B20" s="5">
        <v>46032</v>
      </c>
      <c r="C20" s="1" t="s">
        <v>32</v>
      </c>
      <c r="D20" s="1" t="s">
        <v>22</v>
      </c>
      <c r="E20" s="1" t="s">
        <v>23</v>
      </c>
      <c r="F20" s="3">
        <v>16</v>
      </c>
      <c r="G20" s="3">
        <v>19600</v>
      </c>
    </row>
    <row r="21" spans="1:7">
      <c r="A21" s="1" t="s">
        <v>49</v>
      </c>
      <c r="B21" s="5">
        <v>46037</v>
      </c>
      <c r="C21" s="1" t="s">
        <v>34</v>
      </c>
      <c r="D21" s="1" t="s">
        <v>26</v>
      </c>
      <c r="E21" s="1" t="s">
        <v>27</v>
      </c>
      <c r="F21" s="3">
        <v>19</v>
      </c>
      <c r="G21" s="3">
        <v>25650</v>
      </c>
    </row>
    <row r="22" spans="1:7">
      <c r="A22" s="1" t="s">
        <v>50</v>
      </c>
      <c r="B22" s="5">
        <v>46056</v>
      </c>
      <c r="C22" s="1" t="s">
        <v>25</v>
      </c>
      <c r="D22" s="1" t="s">
        <v>30</v>
      </c>
      <c r="E22" s="1" t="s">
        <v>27</v>
      </c>
      <c r="F22" s="3">
        <v>13</v>
      </c>
      <c r="G22" s="3">
        <v>12675</v>
      </c>
    </row>
    <row r="23" spans="1:7">
      <c r="A23" s="1" t="s">
        <v>51</v>
      </c>
      <c r="B23" s="5">
        <v>46061</v>
      </c>
      <c r="C23" s="1" t="s">
        <v>29</v>
      </c>
      <c r="D23" s="1" t="s">
        <v>22</v>
      </c>
      <c r="E23" s="1" t="s">
        <v>23</v>
      </c>
      <c r="F23" s="3">
        <v>16</v>
      </c>
      <c r="G23" s="3">
        <v>17600</v>
      </c>
    </row>
    <row r="24" spans="1:7">
      <c r="A24" s="1" t="s">
        <v>52</v>
      </c>
      <c r="B24" s="5">
        <v>46066</v>
      </c>
      <c r="C24" s="1" t="s">
        <v>32</v>
      </c>
      <c r="D24" s="1" t="s">
        <v>26</v>
      </c>
      <c r="E24" s="1" t="s">
        <v>27</v>
      </c>
      <c r="F24" s="3">
        <v>19</v>
      </c>
      <c r="G24" s="3">
        <v>23275</v>
      </c>
    </row>
    <row r="25" spans="1:7">
      <c r="A25" s="1" t="s">
        <v>53</v>
      </c>
      <c r="B25" s="5">
        <v>46071</v>
      </c>
      <c r="C25" s="1" t="s">
        <v>34</v>
      </c>
      <c r="D25" s="1" t="s">
        <v>30</v>
      </c>
      <c r="E25" s="1" t="s">
        <v>23</v>
      </c>
      <c r="F25" s="3">
        <v>22</v>
      </c>
      <c r="G25" s="3">
        <v>29700</v>
      </c>
    </row>
    <row r="26" spans="1:7">
      <c r="A26" s="1" t="s">
        <v>54</v>
      </c>
      <c r="B26" s="5">
        <v>46076</v>
      </c>
      <c r="C26" s="1" t="s">
        <v>21</v>
      </c>
      <c r="D26" s="1" t="s">
        <v>22</v>
      </c>
      <c r="E26" s="1" t="s">
        <v>27</v>
      </c>
      <c r="F26" s="3">
        <v>25</v>
      </c>
      <c r="G26" s="3">
        <v>21250</v>
      </c>
    </row>
    <row r="27" spans="1:7">
      <c r="A27" s="1" t="s">
        <v>55</v>
      </c>
      <c r="B27" s="5">
        <v>46054</v>
      </c>
      <c r="C27" s="1" t="s">
        <v>25</v>
      </c>
      <c r="D27" s="1" t="s">
        <v>26</v>
      </c>
      <c r="E27" s="1" t="s">
        <v>23</v>
      </c>
      <c r="F27" s="3">
        <v>28</v>
      </c>
      <c r="G27" s="3">
        <v>27300</v>
      </c>
    </row>
    <row r="28" spans="1:7">
      <c r="A28" s="1" t="s">
        <v>56</v>
      </c>
      <c r="B28" s="5">
        <v>46059</v>
      </c>
      <c r="C28" s="1" t="s">
        <v>29</v>
      </c>
      <c r="D28" s="1" t="s">
        <v>30</v>
      </c>
      <c r="E28" s="1" t="s">
        <v>27</v>
      </c>
      <c r="F28" s="3">
        <v>8</v>
      </c>
      <c r="G28" s="3">
        <v>8800</v>
      </c>
    </row>
    <row r="29" spans="1:7">
      <c r="A29" s="1" t="s">
        <v>57</v>
      </c>
      <c r="B29" s="5">
        <v>46064</v>
      </c>
      <c r="C29" s="1" t="s">
        <v>32</v>
      </c>
      <c r="D29" s="1" t="s">
        <v>22</v>
      </c>
      <c r="E29" s="1" t="s">
        <v>23</v>
      </c>
      <c r="F29" s="3">
        <v>11</v>
      </c>
      <c r="G29" s="3">
        <v>13475</v>
      </c>
    </row>
    <row r="30" spans="1:7">
      <c r="A30" s="1" t="s">
        <v>58</v>
      </c>
      <c r="B30" s="5">
        <v>46069</v>
      </c>
      <c r="C30" s="1" t="s">
        <v>34</v>
      </c>
      <c r="D30" s="1" t="s">
        <v>26</v>
      </c>
      <c r="E30" s="1" t="s">
        <v>27</v>
      </c>
      <c r="F30" s="3">
        <v>14</v>
      </c>
      <c r="G30" s="3">
        <v>18900</v>
      </c>
    </row>
    <row r="31" spans="1:7">
      <c r="A31" s="1" t="s">
        <v>59</v>
      </c>
      <c r="B31" s="5">
        <v>46074</v>
      </c>
      <c r="C31" s="1" t="s">
        <v>21</v>
      </c>
      <c r="D31" s="1" t="s">
        <v>30</v>
      </c>
      <c r="E31" s="1" t="s">
        <v>23</v>
      </c>
      <c r="F31" s="3">
        <v>17</v>
      </c>
      <c r="G31" s="3">
        <v>14450</v>
      </c>
    </row>
    <row r="32" spans="1:7">
      <c r="A32" s="1" t="s">
        <v>60</v>
      </c>
      <c r="B32" s="5">
        <v>46079</v>
      </c>
      <c r="C32" s="1" t="s">
        <v>25</v>
      </c>
      <c r="D32" s="1" t="s">
        <v>22</v>
      </c>
      <c r="E32" s="1" t="s">
        <v>27</v>
      </c>
      <c r="F32" s="3">
        <v>20</v>
      </c>
      <c r="G32" s="3">
        <v>19500</v>
      </c>
    </row>
    <row r="33" spans="1:7">
      <c r="A33" s="1" t="s">
        <v>61</v>
      </c>
      <c r="B33" s="5">
        <v>46057</v>
      </c>
      <c r="C33" s="1" t="s">
        <v>29</v>
      </c>
      <c r="D33" s="1" t="s">
        <v>26</v>
      </c>
      <c r="E33" s="1" t="s">
        <v>23</v>
      </c>
      <c r="F33" s="3">
        <v>23</v>
      </c>
      <c r="G33" s="3">
        <v>25300</v>
      </c>
    </row>
    <row r="34" spans="1:7">
      <c r="A34" s="1" t="s">
        <v>62</v>
      </c>
      <c r="B34" s="5">
        <v>46062</v>
      </c>
      <c r="C34" s="1" t="s">
        <v>32</v>
      </c>
      <c r="D34" s="1" t="s">
        <v>30</v>
      </c>
      <c r="E34" s="1" t="s">
        <v>27</v>
      </c>
      <c r="F34" s="3">
        <v>26</v>
      </c>
      <c r="G34" s="3">
        <v>31850</v>
      </c>
    </row>
    <row r="35" spans="1:7">
      <c r="A35" s="1" t="s">
        <v>63</v>
      </c>
      <c r="B35" s="5">
        <v>46067</v>
      </c>
      <c r="C35" s="1" t="s">
        <v>34</v>
      </c>
      <c r="D35" s="1" t="s">
        <v>22</v>
      </c>
      <c r="E35" s="1" t="s">
        <v>23</v>
      </c>
      <c r="F35" s="3">
        <v>29</v>
      </c>
      <c r="G35" s="3">
        <v>39150</v>
      </c>
    </row>
    <row r="36" spans="1:7">
      <c r="A36" s="1" t="s">
        <v>64</v>
      </c>
      <c r="B36" s="5">
        <v>46072</v>
      </c>
      <c r="C36" s="1" t="s">
        <v>21</v>
      </c>
      <c r="D36" s="1" t="s">
        <v>26</v>
      </c>
      <c r="E36" s="1" t="s">
        <v>27</v>
      </c>
      <c r="F36" s="3">
        <v>9</v>
      </c>
      <c r="G36" s="3">
        <v>7650</v>
      </c>
    </row>
    <row r="37" spans="1:7">
      <c r="A37" s="1" t="s">
        <v>65</v>
      </c>
      <c r="B37" s="5">
        <v>46077</v>
      </c>
      <c r="C37" s="1" t="s">
        <v>25</v>
      </c>
      <c r="D37" s="1" t="s">
        <v>30</v>
      </c>
      <c r="E37" s="1" t="s">
        <v>23</v>
      </c>
      <c r="F37" s="3">
        <v>12</v>
      </c>
      <c r="G37" s="3">
        <v>11700</v>
      </c>
    </row>
    <row r="38" spans="1:7">
      <c r="A38" s="1" t="s">
        <v>66</v>
      </c>
      <c r="B38" s="5">
        <v>46055</v>
      </c>
      <c r="C38" s="1" t="s">
        <v>29</v>
      </c>
      <c r="D38" s="1" t="s">
        <v>22</v>
      </c>
      <c r="E38" s="1" t="s">
        <v>27</v>
      </c>
      <c r="F38" s="3">
        <v>15</v>
      </c>
      <c r="G38" s="3">
        <v>16500</v>
      </c>
    </row>
    <row r="39" spans="1:7">
      <c r="A39" s="1" t="s">
        <v>67</v>
      </c>
      <c r="B39" s="5">
        <v>46060</v>
      </c>
      <c r="C39" s="1" t="s">
        <v>32</v>
      </c>
      <c r="D39" s="1" t="s">
        <v>26</v>
      </c>
      <c r="E39" s="1" t="s">
        <v>23</v>
      </c>
      <c r="F39" s="3">
        <v>18</v>
      </c>
      <c r="G39" s="3">
        <v>22050</v>
      </c>
    </row>
    <row r="40" spans="1:7">
      <c r="A40" s="1" t="s">
        <v>68</v>
      </c>
      <c r="B40" s="5">
        <v>46065</v>
      </c>
      <c r="C40" s="1" t="s">
        <v>34</v>
      </c>
      <c r="D40" s="1" t="s">
        <v>30</v>
      </c>
      <c r="E40" s="1" t="s">
        <v>27</v>
      </c>
      <c r="F40" s="3">
        <v>21</v>
      </c>
      <c r="G40" s="3">
        <v>28350</v>
      </c>
    </row>
    <row r="41" spans="1:7">
      <c r="A41" s="1" t="s">
        <v>69</v>
      </c>
      <c r="B41" s="5">
        <v>46070</v>
      </c>
      <c r="C41" s="1" t="s">
        <v>21</v>
      </c>
      <c r="D41" s="1" t="s">
        <v>22</v>
      </c>
      <c r="E41" s="1" t="s">
        <v>23</v>
      </c>
      <c r="F41" s="3">
        <v>24</v>
      </c>
      <c r="G41" s="3">
        <v>20400</v>
      </c>
    </row>
    <row r="42" spans="1:7">
      <c r="A42" s="1" t="s">
        <v>70</v>
      </c>
      <c r="B42" s="5">
        <v>46086</v>
      </c>
      <c r="C42" s="1" t="s">
        <v>29</v>
      </c>
      <c r="D42" s="1" t="s">
        <v>26</v>
      </c>
      <c r="E42" s="1" t="s">
        <v>23</v>
      </c>
      <c r="F42" s="3">
        <v>18</v>
      </c>
      <c r="G42" s="3">
        <v>19800</v>
      </c>
    </row>
    <row r="43" spans="1:7">
      <c r="A43" s="1" t="s">
        <v>71</v>
      </c>
      <c r="B43" s="5">
        <v>46091</v>
      </c>
      <c r="C43" s="1" t="s">
        <v>32</v>
      </c>
      <c r="D43" s="1" t="s">
        <v>30</v>
      </c>
      <c r="E43" s="1" t="s">
        <v>27</v>
      </c>
      <c r="F43" s="3">
        <v>21</v>
      </c>
      <c r="G43" s="3">
        <v>25725</v>
      </c>
    </row>
    <row r="44" spans="1:7">
      <c r="A44" s="1" t="s">
        <v>72</v>
      </c>
      <c r="B44" s="5">
        <v>46096</v>
      </c>
      <c r="C44" s="1" t="s">
        <v>34</v>
      </c>
      <c r="D44" s="1" t="s">
        <v>22</v>
      </c>
      <c r="E44" s="1" t="s">
        <v>23</v>
      </c>
      <c r="F44" s="3">
        <v>24</v>
      </c>
      <c r="G44" s="3">
        <v>32400</v>
      </c>
    </row>
    <row r="45" spans="1:7">
      <c r="A45" s="1" t="s">
        <v>73</v>
      </c>
      <c r="B45" s="5">
        <v>46101</v>
      </c>
      <c r="C45" s="1" t="s">
        <v>21</v>
      </c>
      <c r="D45" s="1" t="s">
        <v>26</v>
      </c>
      <c r="E45" s="1" t="s">
        <v>27</v>
      </c>
      <c r="F45" s="3">
        <v>27</v>
      </c>
      <c r="G45" s="3">
        <v>22950</v>
      </c>
    </row>
    <row r="46" spans="1:7">
      <c r="A46" s="1" t="s">
        <v>74</v>
      </c>
      <c r="B46" s="5">
        <v>46106</v>
      </c>
      <c r="C46" s="1" t="s">
        <v>25</v>
      </c>
      <c r="D46" s="1" t="s">
        <v>30</v>
      </c>
      <c r="E46" s="1" t="s">
        <v>23</v>
      </c>
      <c r="F46" s="3">
        <v>30</v>
      </c>
      <c r="G46" s="3">
        <v>29250</v>
      </c>
    </row>
    <row r="47" spans="1:7">
      <c r="A47" s="1" t="s">
        <v>75</v>
      </c>
      <c r="B47" s="5">
        <v>46084</v>
      </c>
      <c r="C47" s="1" t="s">
        <v>29</v>
      </c>
      <c r="D47" s="1" t="s">
        <v>22</v>
      </c>
      <c r="E47" s="1" t="s">
        <v>27</v>
      </c>
      <c r="F47" s="3">
        <v>10</v>
      </c>
      <c r="G47" s="3">
        <v>11000</v>
      </c>
    </row>
    <row r="48" spans="1:7">
      <c r="A48" s="1" t="s">
        <v>76</v>
      </c>
      <c r="B48" s="5">
        <v>46089</v>
      </c>
      <c r="C48" s="1" t="s">
        <v>32</v>
      </c>
      <c r="D48" s="1" t="s">
        <v>26</v>
      </c>
      <c r="E48" s="1" t="s">
        <v>23</v>
      </c>
      <c r="F48" s="3">
        <v>13</v>
      </c>
      <c r="G48" s="3">
        <v>15925</v>
      </c>
    </row>
    <row r="49" spans="1:7">
      <c r="A49" s="1" t="s">
        <v>77</v>
      </c>
      <c r="B49" s="5">
        <v>46094</v>
      </c>
      <c r="C49" s="1" t="s">
        <v>34</v>
      </c>
      <c r="D49" s="1" t="s">
        <v>30</v>
      </c>
      <c r="E49" s="1" t="s">
        <v>27</v>
      </c>
      <c r="F49" s="3">
        <v>16</v>
      </c>
      <c r="G49" s="3">
        <v>21600</v>
      </c>
    </row>
    <row r="50" spans="1:7">
      <c r="A50" s="1" t="s">
        <v>78</v>
      </c>
      <c r="B50" s="5">
        <v>46099</v>
      </c>
      <c r="C50" s="1" t="s">
        <v>21</v>
      </c>
      <c r="D50" s="1" t="s">
        <v>22</v>
      </c>
      <c r="E50" s="1" t="s">
        <v>23</v>
      </c>
      <c r="F50" s="3">
        <v>19</v>
      </c>
      <c r="G50" s="3">
        <v>16150</v>
      </c>
    </row>
    <row r="51" spans="1:7">
      <c r="A51" s="1" t="s">
        <v>79</v>
      </c>
      <c r="B51" s="5">
        <v>46104</v>
      </c>
      <c r="C51" s="1" t="s">
        <v>25</v>
      </c>
      <c r="D51" s="1" t="s">
        <v>26</v>
      </c>
      <c r="E51" s="1" t="s">
        <v>27</v>
      </c>
      <c r="F51" s="3">
        <v>22</v>
      </c>
      <c r="G51" s="3">
        <v>21450</v>
      </c>
    </row>
    <row r="52" spans="1:7">
      <c r="A52" s="1" t="s">
        <v>80</v>
      </c>
      <c r="B52" s="5">
        <v>46082</v>
      </c>
      <c r="C52" s="1" t="s">
        <v>29</v>
      </c>
      <c r="D52" s="1" t="s">
        <v>30</v>
      </c>
      <c r="E52" s="1" t="s">
        <v>23</v>
      </c>
      <c r="F52" s="3">
        <v>25</v>
      </c>
      <c r="G52" s="3">
        <v>27500</v>
      </c>
    </row>
    <row r="53" spans="1:7">
      <c r="A53" s="1" t="s">
        <v>81</v>
      </c>
      <c r="B53" s="5">
        <v>46087</v>
      </c>
      <c r="C53" s="1" t="s">
        <v>32</v>
      </c>
      <c r="D53" s="1" t="s">
        <v>22</v>
      </c>
      <c r="E53" s="1" t="s">
        <v>27</v>
      </c>
      <c r="F53" s="3">
        <v>28</v>
      </c>
      <c r="G53" s="3">
        <v>34300</v>
      </c>
    </row>
    <row r="54" spans="1:7">
      <c r="A54" s="1" t="s">
        <v>82</v>
      </c>
      <c r="B54" s="5">
        <v>46092</v>
      </c>
      <c r="C54" s="1" t="s">
        <v>34</v>
      </c>
      <c r="D54" s="1" t="s">
        <v>26</v>
      </c>
      <c r="E54" s="1" t="s">
        <v>23</v>
      </c>
      <c r="F54" s="3">
        <v>8</v>
      </c>
      <c r="G54" s="3">
        <v>10800</v>
      </c>
    </row>
    <row r="55" spans="1:7">
      <c r="A55" s="1" t="s">
        <v>83</v>
      </c>
      <c r="B55" s="5">
        <v>46097</v>
      </c>
      <c r="C55" s="1" t="s">
        <v>21</v>
      </c>
      <c r="D55" s="1" t="s">
        <v>30</v>
      </c>
      <c r="E55" s="1" t="s">
        <v>27</v>
      </c>
      <c r="F55" s="3">
        <v>11</v>
      </c>
      <c r="G55" s="3">
        <v>9350</v>
      </c>
    </row>
    <row r="56" spans="1:7">
      <c r="A56" s="1" t="s">
        <v>84</v>
      </c>
      <c r="B56" s="5">
        <v>46102</v>
      </c>
      <c r="C56" s="1" t="s">
        <v>25</v>
      </c>
      <c r="D56" s="1" t="s">
        <v>22</v>
      </c>
      <c r="E56" s="1" t="s">
        <v>23</v>
      </c>
      <c r="F56" s="3">
        <v>14</v>
      </c>
      <c r="G56" s="3">
        <v>13650</v>
      </c>
    </row>
    <row r="57" spans="1:7">
      <c r="A57" s="1" t="s">
        <v>85</v>
      </c>
      <c r="B57" s="5">
        <v>46107</v>
      </c>
      <c r="C57" s="1" t="s">
        <v>29</v>
      </c>
      <c r="D57" s="1" t="s">
        <v>26</v>
      </c>
      <c r="E57" s="1" t="s">
        <v>27</v>
      </c>
      <c r="F57" s="3">
        <v>17</v>
      </c>
      <c r="G57" s="3">
        <v>18700</v>
      </c>
    </row>
    <row r="58" spans="1:7">
      <c r="A58" s="1" t="s">
        <v>86</v>
      </c>
      <c r="B58" s="5">
        <v>46085</v>
      </c>
      <c r="C58" s="1" t="s">
        <v>32</v>
      </c>
      <c r="D58" s="1" t="s">
        <v>30</v>
      </c>
      <c r="E58" s="1" t="s">
        <v>23</v>
      </c>
      <c r="F58" s="3">
        <v>20</v>
      </c>
      <c r="G58" s="3">
        <v>24500</v>
      </c>
    </row>
    <row r="59" spans="1:7">
      <c r="A59" s="1" t="s">
        <v>87</v>
      </c>
      <c r="B59" s="5">
        <v>46090</v>
      </c>
      <c r="C59" s="1" t="s">
        <v>34</v>
      </c>
      <c r="D59" s="1" t="s">
        <v>22</v>
      </c>
      <c r="E59" s="1" t="s">
        <v>27</v>
      </c>
      <c r="F59" s="3">
        <v>23</v>
      </c>
      <c r="G59" s="3">
        <v>31050</v>
      </c>
    </row>
    <row r="60" spans="1:7">
      <c r="A60" s="1" t="s">
        <v>88</v>
      </c>
      <c r="B60" s="5">
        <v>46095</v>
      </c>
      <c r="C60" s="1" t="s">
        <v>21</v>
      </c>
      <c r="D60" s="1" t="s">
        <v>26</v>
      </c>
      <c r="E60" s="1" t="s">
        <v>23</v>
      </c>
      <c r="F60" s="3">
        <v>26</v>
      </c>
      <c r="G60" s="3">
        <v>22100</v>
      </c>
    </row>
    <row r="61" spans="1:7">
      <c r="A61" s="1" t="s">
        <v>89</v>
      </c>
      <c r="B61" s="5">
        <v>46100</v>
      </c>
      <c r="C61" s="1" t="s">
        <v>25</v>
      </c>
      <c r="D61" s="1" t="s">
        <v>30</v>
      </c>
      <c r="E61" s="1" t="s">
        <v>27</v>
      </c>
      <c r="F61" s="3">
        <v>29</v>
      </c>
      <c r="G61" s="3">
        <v>28275</v>
      </c>
    </row>
    <row r="62" spans="1:7">
      <c r="A62" s="1" t="s">
        <v>90</v>
      </c>
      <c r="B62" s="5">
        <v>46119</v>
      </c>
      <c r="C62" s="1" t="s">
        <v>32</v>
      </c>
      <c r="D62" s="1" t="s">
        <v>22</v>
      </c>
      <c r="E62" s="1" t="s">
        <v>27</v>
      </c>
      <c r="F62" s="3">
        <v>23</v>
      </c>
      <c r="G62" s="3">
        <v>28175</v>
      </c>
    </row>
    <row r="63" spans="1:7">
      <c r="A63" s="1" t="s">
        <v>91</v>
      </c>
      <c r="B63" s="5">
        <v>46124</v>
      </c>
      <c r="C63" s="1" t="s">
        <v>34</v>
      </c>
      <c r="D63" s="1" t="s">
        <v>26</v>
      </c>
      <c r="E63" s="1" t="s">
        <v>23</v>
      </c>
      <c r="F63" s="3">
        <v>26</v>
      </c>
      <c r="G63" s="3">
        <v>35100</v>
      </c>
    </row>
    <row r="64" spans="1:7">
      <c r="A64" s="1" t="s">
        <v>92</v>
      </c>
      <c r="B64" s="5">
        <v>46129</v>
      </c>
      <c r="C64" s="1" t="s">
        <v>21</v>
      </c>
      <c r="D64" s="1" t="s">
        <v>30</v>
      </c>
      <c r="E64" s="1" t="s">
        <v>27</v>
      </c>
      <c r="F64" s="3">
        <v>29</v>
      </c>
      <c r="G64" s="3">
        <v>24650</v>
      </c>
    </row>
    <row r="65" spans="1:7">
      <c r="A65" s="1" t="s">
        <v>93</v>
      </c>
      <c r="B65" s="5">
        <v>46134</v>
      </c>
      <c r="C65" s="1" t="s">
        <v>25</v>
      </c>
      <c r="D65" s="1" t="s">
        <v>22</v>
      </c>
      <c r="E65" s="1" t="s">
        <v>23</v>
      </c>
      <c r="F65" s="3">
        <v>9</v>
      </c>
      <c r="G65" s="3">
        <v>8775</v>
      </c>
    </row>
    <row r="66" spans="1:7">
      <c r="A66" s="1" t="s">
        <v>94</v>
      </c>
      <c r="B66" s="5">
        <v>46139</v>
      </c>
      <c r="C66" s="1" t="s">
        <v>29</v>
      </c>
      <c r="D66" s="1" t="s">
        <v>26</v>
      </c>
      <c r="E66" s="1" t="s">
        <v>27</v>
      </c>
      <c r="F66" s="3">
        <v>12</v>
      </c>
      <c r="G66" s="3">
        <v>13200</v>
      </c>
    </row>
    <row r="67" spans="1:7">
      <c r="A67" s="1" t="s">
        <v>95</v>
      </c>
      <c r="B67" s="5">
        <v>46117</v>
      </c>
      <c r="C67" s="1" t="s">
        <v>32</v>
      </c>
      <c r="D67" s="1" t="s">
        <v>30</v>
      </c>
      <c r="E67" s="1" t="s">
        <v>23</v>
      </c>
      <c r="F67" s="3">
        <v>15</v>
      </c>
      <c r="G67" s="3">
        <v>18375</v>
      </c>
    </row>
    <row r="68" spans="1:7">
      <c r="A68" s="1" t="s">
        <v>96</v>
      </c>
      <c r="B68" s="5">
        <v>46122</v>
      </c>
      <c r="C68" s="1" t="s">
        <v>34</v>
      </c>
      <c r="D68" s="1" t="s">
        <v>22</v>
      </c>
      <c r="E68" s="1" t="s">
        <v>27</v>
      </c>
      <c r="F68" s="3">
        <v>18</v>
      </c>
      <c r="G68" s="3">
        <v>24300</v>
      </c>
    </row>
    <row r="69" spans="1:7">
      <c r="A69" s="1" t="s">
        <v>97</v>
      </c>
      <c r="B69" s="5">
        <v>46127</v>
      </c>
      <c r="C69" s="1" t="s">
        <v>21</v>
      </c>
      <c r="D69" s="1" t="s">
        <v>26</v>
      </c>
      <c r="E69" s="1" t="s">
        <v>23</v>
      </c>
      <c r="F69" s="3">
        <v>21</v>
      </c>
      <c r="G69" s="3">
        <v>17850</v>
      </c>
    </row>
    <row r="70" spans="1:7">
      <c r="A70" s="1" t="s">
        <v>98</v>
      </c>
      <c r="B70" s="5">
        <v>46132</v>
      </c>
      <c r="C70" s="1" t="s">
        <v>25</v>
      </c>
      <c r="D70" s="1" t="s">
        <v>30</v>
      </c>
      <c r="E70" s="1" t="s">
        <v>27</v>
      </c>
      <c r="F70" s="3">
        <v>24</v>
      </c>
      <c r="G70" s="3">
        <v>23400</v>
      </c>
    </row>
    <row r="71" spans="1:7">
      <c r="A71" s="1" t="s">
        <v>99</v>
      </c>
      <c r="B71" s="5">
        <v>46137</v>
      </c>
      <c r="C71" s="1" t="s">
        <v>29</v>
      </c>
      <c r="D71" s="1" t="s">
        <v>22</v>
      </c>
      <c r="E71" s="1" t="s">
        <v>23</v>
      </c>
      <c r="F71" s="3">
        <v>27</v>
      </c>
      <c r="G71" s="3">
        <v>29700</v>
      </c>
    </row>
    <row r="72" spans="1:7">
      <c r="A72" s="1" t="s">
        <v>100</v>
      </c>
      <c r="B72" s="5">
        <v>46115</v>
      </c>
      <c r="C72" s="1" t="s">
        <v>32</v>
      </c>
      <c r="D72" s="1" t="s">
        <v>26</v>
      </c>
      <c r="E72" s="1" t="s">
        <v>27</v>
      </c>
      <c r="F72" s="3">
        <v>30</v>
      </c>
      <c r="G72" s="3">
        <v>36750</v>
      </c>
    </row>
    <row r="73" spans="1:7">
      <c r="A73" s="1" t="s">
        <v>101</v>
      </c>
      <c r="B73" s="5">
        <v>46120</v>
      </c>
      <c r="C73" s="1" t="s">
        <v>34</v>
      </c>
      <c r="D73" s="1" t="s">
        <v>30</v>
      </c>
      <c r="E73" s="1" t="s">
        <v>23</v>
      </c>
      <c r="F73" s="3">
        <v>10</v>
      </c>
      <c r="G73" s="3">
        <v>13500</v>
      </c>
    </row>
    <row r="74" spans="1:7">
      <c r="A74" s="1" t="s">
        <v>102</v>
      </c>
      <c r="B74" s="5">
        <v>46125</v>
      </c>
      <c r="C74" s="1" t="s">
        <v>21</v>
      </c>
      <c r="D74" s="1" t="s">
        <v>22</v>
      </c>
      <c r="E74" s="1" t="s">
        <v>27</v>
      </c>
      <c r="F74" s="3">
        <v>13</v>
      </c>
      <c r="G74" s="3">
        <v>11050</v>
      </c>
    </row>
    <row r="75" spans="1:7">
      <c r="A75" s="1" t="s">
        <v>103</v>
      </c>
      <c r="B75" s="5">
        <v>46130</v>
      </c>
      <c r="C75" s="1" t="s">
        <v>25</v>
      </c>
      <c r="D75" s="1" t="s">
        <v>26</v>
      </c>
      <c r="E75" s="1" t="s">
        <v>23</v>
      </c>
      <c r="F75" s="3">
        <v>16</v>
      </c>
      <c r="G75" s="3">
        <v>15600</v>
      </c>
    </row>
    <row r="76" spans="1:7">
      <c r="A76" s="1" t="s">
        <v>104</v>
      </c>
      <c r="B76" s="5">
        <v>46135</v>
      </c>
      <c r="C76" s="1" t="s">
        <v>29</v>
      </c>
      <c r="D76" s="1" t="s">
        <v>30</v>
      </c>
      <c r="E76" s="1" t="s">
        <v>27</v>
      </c>
      <c r="F76" s="3">
        <v>19</v>
      </c>
      <c r="G76" s="3">
        <v>20900</v>
      </c>
    </row>
    <row r="77" spans="1:7">
      <c r="A77" s="1" t="s">
        <v>105</v>
      </c>
      <c r="B77" s="5">
        <v>46113</v>
      </c>
      <c r="C77" s="1" t="s">
        <v>32</v>
      </c>
      <c r="D77" s="1" t="s">
        <v>22</v>
      </c>
      <c r="E77" s="1" t="s">
        <v>23</v>
      </c>
      <c r="F77" s="3">
        <v>22</v>
      </c>
      <c r="G77" s="3">
        <v>26950</v>
      </c>
    </row>
    <row r="78" spans="1:7">
      <c r="A78" s="1" t="s">
        <v>106</v>
      </c>
      <c r="B78" s="5">
        <v>46118</v>
      </c>
      <c r="C78" s="1" t="s">
        <v>34</v>
      </c>
      <c r="D78" s="1" t="s">
        <v>26</v>
      </c>
      <c r="E78" s="1" t="s">
        <v>27</v>
      </c>
      <c r="F78" s="3">
        <v>25</v>
      </c>
      <c r="G78" s="3">
        <v>33750</v>
      </c>
    </row>
    <row r="79" spans="1:7">
      <c r="A79" s="1" t="s">
        <v>107</v>
      </c>
      <c r="B79" s="5">
        <v>46123</v>
      </c>
      <c r="C79" s="1" t="s">
        <v>21</v>
      </c>
      <c r="D79" s="1" t="s">
        <v>30</v>
      </c>
      <c r="E79" s="1" t="s">
        <v>23</v>
      </c>
      <c r="F79" s="3">
        <v>28</v>
      </c>
      <c r="G79" s="3">
        <v>23800</v>
      </c>
    </row>
    <row r="80" spans="1:7">
      <c r="A80" s="1" t="s">
        <v>108</v>
      </c>
      <c r="B80" s="5">
        <v>46128</v>
      </c>
      <c r="C80" s="1" t="s">
        <v>25</v>
      </c>
      <c r="D80" s="1" t="s">
        <v>22</v>
      </c>
      <c r="E80" s="1" t="s">
        <v>27</v>
      </c>
      <c r="F80" s="3">
        <v>8</v>
      </c>
      <c r="G80" s="3">
        <v>7800</v>
      </c>
    </row>
    <row r="81" spans="1:7">
      <c r="A81" s="1" t="s">
        <v>109</v>
      </c>
      <c r="B81" s="5">
        <v>46133</v>
      </c>
      <c r="C81" s="1" t="s">
        <v>29</v>
      </c>
      <c r="D81" s="1" t="s">
        <v>26</v>
      </c>
      <c r="E81" s="1" t="s">
        <v>23</v>
      </c>
      <c r="F81" s="3">
        <v>11</v>
      </c>
      <c r="G81" s="3">
        <v>12100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7"/>
  <sheetViews>
    <sheetView showGridLines="0" zoomScale="160" zoomScaleNormal="160" workbookViewId="0">
      <pane ySplit="1" topLeftCell="A2" activePane="bottomLeft" state="frozen"/>
      <selection pane="bottomLeft" activeCell="D10" sqref="D10"/>
    </sheetView>
  </sheetViews>
  <sheetFormatPr defaultRowHeight="14.25"/>
  <cols>
    <col min="1" max="1" width="12" customWidth="1"/>
    <col min="2" max="2" width="25" customWidth="1"/>
    <col min="3" max="3" width="16" customWidth="1"/>
    <col min="4" max="4" width="20" customWidth="1"/>
  </cols>
  <sheetData>
    <row r="1" spans="1:4" ht="30" customHeight="1">
      <c r="A1" s="2" t="s">
        <v>15</v>
      </c>
      <c r="B1" s="2" t="s">
        <v>110</v>
      </c>
      <c r="C1" s="2" t="s">
        <v>111</v>
      </c>
      <c r="D1" s="2" t="s">
        <v>112</v>
      </c>
    </row>
    <row r="2" spans="1:4">
      <c r="A2" s="1" t="s">
        <v>21</v>
      </c>
      <c r="B2" s="1" t="s">
        <v>113</v>
      </c>
      <c r="C2" s="1" t="s">
        <v>114</v>
      </c>
      <c r="D2" s="3">
        <v>180000</v>
      </c>
    </row>
    <row r="3" spans="1:4">
      <c r="A3" s="1" t="s">
        <v>25</v>
      </c>
      <c r="B3" s="1" t="s">
        <v>115</v>
      </c>
      <c r="C3" s="1" t="s">
        <v>116</v>
      </c>
      <c r="D3" s="3">
        <v>150000</v>
      </c>
    </row>
    <row r="4" spans="1:4">
      <c r="A4" s="1" t="s">
        <v>29</v>
      </c>
      <c r="B4" s="1" t="s">
        <v>117</v>
      </c>
      <c r="C4" s="1" t="s">
        <v>118</v>
      </c>
      <c r="D4" s="3">
        <v>125000</v>
      </c>
    </row>
    <row r="5" spans="1:4">
      <c r="A5" s="1" t="s">
        <v>32</v>
      </c>
      <c r="B5" s="1" t="s">
        <v>119</v>
      </c>
      <c r="C5" s="1" t="s">
        <v>118</v>
      </c>
      <c r="D5" s="3">
        <v>115000</v>
      </c>
    </row>
    <row r="6" spans="1:4">
      <c r="A6" s="1" t="s">
        <v>34</v>
      </c>
      <c r="B6" s="1" t="s">
        <v>120</v>
      </c>
      <c r="C6" s="1" t="s">
        <v>121</v>
      </c>
      <c r="D6" s="3"/>
    </row>
    <row r="7" spans="1:4">
      <c r="A7" s="1" t="s">
        <v>122</v>
      </c>
      <c r="B7" s="1" t="s">
        <v>123</v>
      </c>
      <c r="C7" s="1" t="s">
        <v>124</v>
      </c>
      <c r="D7" s="3">
        <v>90000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F121"/>
  <sheetViews>
    <sheetView showGridLines="0" zoomScale="145" zoomScaleNormal="145" workbookViewId="0">
      <pane ySplit="1" topLeftCell="A2" activePane="bottomLeft" state="frozen"/>
      <selection pane="bottomLeft"/>
    </sheetView>
  </sheetViews>
  <sheetFormatPr defaultRowHeight="14.25"/>
  <cols>
    <col min="1" max="1" width="13" customWidth="1"/>
    <col min="2" max="2" width="9" customWidth="1"/>
    <col min="3" max="3" width="15" customWidth="1"/>
    <col min="4" max="4" width="14" customWidth="1"/>
    <col min="5" max="5" width="12" customWidth="1"/>
    <col min="6" max="6" width="19" customWidth="1"/>
  </cols>
  <sheetData>
    <row r="1" spans="1:6" ht="30" customHeight="1">
      <c r="A1" s="2" t="s">
        <v>14</v>
      </c>
      <c r="B1" s="2" t="s">
        <v>125</v>
      </c>
      <c r="C1" s="2" t="s">
        <v>126</v>
      </c>
      <c r="D1" s="2" t="s">
        <v>127</v>
      </c>
      <c r="E1" s="2" t="s">
        <v>128</v>
      </c>
      <c r="F1" s="2" t="s">
        <v>129</v>
      </c>
    </row>
    <row r="2" spans="1:6">
      <c r="A2" s="5">
        <v>46023</v>
      </c>
      <c r="B2" s="1">
        <v>2026</v>
      </c>
      <c r="C2" s="1">
        <v>1</v>
      </c>
      <c r="D2" s="1" t="s">
        <v>130</v>
      </c>
      <c r="E2" s="1" t="s">
        <v>131</v>
      </c>
      <c r="F2" s="1">
        <v>202601</v>
      </c>
    </row>
    <row r="3" spans="1:6">
      <c r="A3" s="5">
        <v>46024</v>
      </c>
      <c r="B3" s="1">
        <v>2026</v>
      </c>
      <c r="C3" s="1">
        <v>1</v>
      </c>
      <c r="D3" s="1" t="s">
        <v>130</v>
      </c>
      <c r="E3" s="1" t="s">
        <v>131</v>
      </c>
      <c r="F3" s="1">
        <v>202601</v>
      </c>
    </row>
    <row r="4" spans="1:6">
      <c r="A4" s="5">
        <v>46025</v>
      </c>
      <c r="B4" s="1">
        <v>2026</v>
      </c>
      <c r="C4" s="1">
        <v>1</v>
      </c>
      <c r="D4" s="1" t="s">
        <v>130</v>
      </c>
      <c r="E4" s="1" t="s">
        <v>131</v>
      </c>
      <c r="F4" s="1">
        <v>202601</v>
      </c>
    </row>
    <row r="5" spans="1:6">
      <c r="A5" s="5">
        <v>46026</v>
      </c>
      <c r="B5" s="1">
        <v>2026</v>
      </c>
      <c r="C5" s="1">
        <v>1</v>
      </c>
      <c r="D5" s="1" t="s">
        <v>130</v>
      </c>
      <c r="E5" s="1" t="s">
        <v>131</v>
      </c>
      <c r="F5" s="1">
        <v>202601</v>
      </c>
    </row>
    <row r="6" spans="1:6">
      <c r="A6" s="5">
        <v>46027</v>
      </c>
      <c r="B6" s="1">
        <v>2026</v>
      </c>
      <c r="C6" s="1">
        <v>1</v>
      </c>
      <c r="D6" s="1" t="s">
        <v>130</v>
      </c>
      <c r="E6" s="1" t="s">
        <v>131</v>
      </c>
      <c r="F6" s="1">
        <v>202601</v>
      </c>
    </row>
    <row r="7" spans="1:6">
      <c r="A7" s="5">
        <v>46028</v>
      </c>
      <c r="B7" s="1">
        <v>2026</v>
      </c>
      <c r="C7" s="1">
        <v>1</v>
      </c>
      <c r="D7" s="1" t="s">
        <v>130</v>
      </c>
      <c r="E7" s="1" t="s">
        <v>131</v>
      </c>
      <c r="F7" s="1">
        <v>202601</v>
      </c>
    </row>
    <row r="8" spans="1:6">
      <c r="A8" s="5">
        <v>46029</v>
      </c>
      <c r="B8" s="1">
        <v>2026</v>
      </c>
      <c r="C8" s="1">
        <v>1</v>
      </c>
      <c r="D8" s="1" t="s">
        <v>130</v>
      </c>
      <c r="E8" s="1" t="s">
        <v>131</v>
      </c>
      <c r="F8" s="1">
        <v>202601</v>
      </c>
    </row>
    <row r="9" spans="1:6">
      <c r="A9" s="5">
        <v>46030</v>
      </c>
      <c r="B9" s="1">
        <v>2026</v>
      </c>
      <c r="C9" s="1">
        <v>1</v>
      </c>
      <c r="D9" s="1" t="s">
        <v>130</v>
      </c>
      <c r="E9" s="1" t="s">
        <v>131</v>
      </c>
      <c r="F9" s="1">
        <v>202601</v>
      </c>
    </row>
    <row r="10" spans="1:6">
      <c r="A10" s="5">
        <v>46031</v>
      </c>
      <c r="B10" s="1">
        <v>2026</v>
      </c>
      <c r="C10" s="1">
        <v>1</v>
      </c>
      <c r="D10" s="1" t="s">
        <v>130</v>
      </c>
      <c r="E10" s="1" t="s">
        <v>131</v>
      </c>
      <c r="F10" s="1">
        <v>202601</v>
      </c>
    </row>
    <row r="11" spans="1:6">
      <c r="A11" s="5">
        <v>46032</v>
      </c>
      <c r="B11" s="1">
        <v>2026</v>
      </c>
      <c r="C11" s="1">
        <v>1</v>
      </c>
      <c r="D11" s="1" t="s">
        <v>130</v>
      </c>
      <c r="E11" s="1" t="s">
        <v>131</v>
      </c>
      <c r="F11" s="1">
        <v>202601</v>
      </c>
    </row>
    <row r="12" spans="1:6">
      <c r="A12" s="5">
        <v>46033</v>
      </c>
      <c r="B12" s="1">
        <v>2026</v>
      </c>
      <c r="C12" s="1">
        <v>1</v>
      </c>
      <c r="D12" s="1" t="s">
        <v>130</v>
      </c>
      <c r="E12" s="1" t="s">
        <v>131</v>
      </c>
      <c r="F12" s="1">
        <v>202601</v>
      </c>
    </row>
    <row r="13" spans="1:6">
      <c r="A13" s="5">
        <v>46034</v>
      </c>
      <c r="B13" s="1">
        <v>2026</v>
      </c>
      <c r="C13" s="1">
        <v>1</v>
      </c>
      <c r="D13" s="1" t="s">
        <v>130</v>
      </c>
      <c r="E13" s="1" t="s">
        <v>131</v>
      </c>
      <c r="F13" s="1">
        <v>202601</v>
      </c>
    </row>
    <row r="14" spans="1:6">
      <c r="A14" s="5">
        <v>46035</v>
      </c>
      <c r="B14" s="1">
        <v>2026</v>
      </c>
      <c r="C14" s="1">
        <v>1</v>
      </c>
      <c r="D14" s="1" t="s">
        <v>130</v>
      </c>
      <c r="E14" s="1" t="s">
        <v>131</v>
      </c>
      <c r="F14" s="1">
        <v>202601</v>
      </c>
    </row>
    <row r="15" spans="1:6">
      <c r="A15" s="5">
        <v>46036</v>
      </c>
      <c r="B15" s="1">
        <v>2026</v>
      </c>
      <c r="C15" s="1">
        <v>1</v>
      </c>
      <c r="D15" s="1" t="s">
        <v>130</v>
      </c>
      <c r="E15" s="1" t="s">
        <v>131</v>
      </c>
      <c r="F15" s="1">
        <v>202601</v>
      </c>
    </row>
    <row r="16" spans="1:6">
      <c r="A16" s="5">
        <v>46037</v>
      </c>
      <c r="B16" s="1">
        <v>2026</v>
      </c>
      <c r="C16" s="1">
        <v>1</v>
      </c>
      <c r="D16" s="1" t="s">
        <v>130</v>
      </c>
      <c r="E16" s="1" t="s">
        <v>131</v>
      </c>
      <c r="F16" s="1">
        <v>202601</v>
      </c>
    </row>
    <row r="17" spans="1:6">
      <c r="A17" s="5">
        <v>46038</v>
      </c>
      <c r="B17" s="1">
        <v>2026</v>
      </c>
      <c r="C17" s="1">
        <v>1</v>
      </c>
      <c r="D17" s="1" t="s">
        <v>130</v>
      </c>
      <c r="E17" s="1" t="s">
        <v>131</v>
      </c>
      <c r="F17" s="1">
        <v>202601</v>
      </c>
    </row>
    <row r="18" spans="1:6">
      <c r="A18" s="5">
        <v>46039</v>
      </c>
      <c r="B18" s="1">
        <v>2026</v>
      </c>
      <c r="C18" s="1">
        <v>1</v>
      </c>
      <c r="D18" s="1" t="s">
        <v>130</v>
      </c>
      <c r="E18" s="1" t="s">
        <v>131</v>
      </c>
      <c r="F18" s="1">
        <v>202601</v>
      </c>
    </row>
    <row r="19" spans="1:6">
      <c r="A19" s="5">
        <v>46040</v>
      </c>
      <c r="B19" s="1">
        <v>2026</v>
      </c>
      <c r="C19" s="1">
        <v>1</v>
      </c>
      <c r="D19" s="1" t="s">
        <v>130</v>
      </c>
      <c r="E19" s="1" t="s">
        <v>131</v>
      </c>
      <c r="F19" s="1">
        <v>202601</v>
      </c>
    </row>
    <row r="20" spans="1:6">
      <c r="A20" s="5">
        <v>46041</v>
      </c>
      <c r="B20" s="1">
        <v>2026</v>
      </c>
      <c r="C20" s="1">
        <v>1</v>
      </c>
      <c r="D20" s="1" t="s">
        <v>130</v>
      </c>
      <c r="E20" s="1" t="s">
        <v>131</v>
      </c>
      <c r="F20" s="1">
        <v>202601</v>
      </c>
    </row>
    <row r="21" spans="1:6">
      <c r="A21" s="5">
        <v>46042</v>
      </c>
      <c r="B21" s="1">
        <v>2026</v>
      </c>
      <c r="C21" s="1">
        <v>1</v>
      </c>
      <c r="D21" s="1" t="s">
        <v>130</v>
      </c>
      <c r="E21" s="1" t="s">
        <v>131</v>
      </c>
      <c r="F21" s="1">
        <v>202601</v>
      </c>
    </row>
    <row r="22" spans="1:6">
      <c r="A22" s="5">
        <v>46043</v>
      </c>
      <c r="B22" s="1">
        <v>2026</v>
      </c>
      <c r="C22" s="1">
        <v>1</v>
      </c>
      <c r="D22" s="1" t="s">
        <v>130</v>
      </c>
      <c r="E22" s="1" t="s">
        <v>131</v>
      </c>
      <c r="F22" s="1">
        <v>202601</v>
      </c>
    </row>
    <row r="23" spans="1:6">
      <c r="A23" s="5">
        <v>46044</v>
      </c>
      <c r="B23" s="1">
        <v>2026</v>
      </c>
      <c r="C23" s="1">
        <v>1</v>
      </c>
      <c r="D23" s="1" t="s">
        <v>130</v>
      </c>
      <c r="E23" s="1" t="s">
        <v>131</v>
      </c>
      <c r="F23" s="1">
        <v>202601</v>
      </c>
    </row>
    <row r="24" spans="1:6">
      <c r="A24" s="5">
        <v>46045</v>
      </c>
      <c r="B24" s="1">
        <v>2026</v>
      </c>
      <c r="C24" s="1">
        <v>1</v>
      </c>
      <c r="D24" s="1" t="s">
        <v>130</v>
      </c>
      <c r="E24" s="1" t="s">
        <v>131</v>
      </c>
      <c r="F24" s="1">
        <v>202601</v>
      </c>
    </row>
    <row r="25" spans="1:6">
      <c r="A25" s="5">
        <v>46046</v>
      </c>
      <c r="B25" s="1">
        <v>2026</v>
      </c>
      <c r="C25" s="1">
        <v>1</v>
      </c>
      <c r="D25" s="1" t="s">
        <v>130</v>
      </c>
      <c r="E25" s="1" t="s">
        <v>131</v>
      </c>
      <c r="F25" s="1">
        <v>202601</v>
      </c>
    </row>
    <row r="26" spans="1:6">
      <c r="A26" s="5">
        <v>46047</v>
      </c>
      <c r="B26" s="1">
        <v>2026</v>
      </c>
      <c r="C26" s="1">
        <v>1</v>
      </c>
      <c r="D26" s="1" t="s">
        <v>130</v>
      </c>
      <c r="E26" s="1" t="s">
        <v>131</v>
      </c>
      <c r="F26" s="1">
        <v>202601</v>
      </c>
    </row>
    <row r="27" spans="1:6">
      <c r="A27" s="5">
        <v>46048</v>
      </c>
      <c r="B27" s="1">
        <v>2026</v>
      </c>
      <c r="C27" s="1">
        <v>1</v>
      </c>
      <c r="D27" s="1" t="s">
        <v>130</v>
      </c>
      <c r="E27" s="1" t="s">
        <v>131</v>
      </c>
      <c r="F27" s="1">
        <v>202601</v>
      </c>
    </row>
    <row r="28" spans="1:6">
      <c r="A28" s="5">
        <v>46049</v>
      </c>
      <c r="B28" s="1">
        <v>2026</v>
      </c>
      <c r="C28" s="1">
        <v>1</v>
      </c>
      <c r="D28" s="1" t="s">
        <v>130</v>
      </c>
      <c r="E28" s="1" t="s">
        <v>131</v>
      </c>
      <c r="F28" s="1">
        <v>202601</v>
      </c>
    </row>
    <row r="29" spans="1:6">
      <c r="A29" s="5">
        <v>46050</v>
      </c>
      <c r="B29" s="1">
        <v>2026</v>
      </c>
      <c r="C29" s="1">
        <v>1</v>
      </c>
      <c r="D29" s="1" t="s">
        <v>130</v>
      </c>
      <c r="E29" s="1" t="s">
        <v>131</v>
      </c>
      <c r="F29" s="1">
        <v>202601</v>
      </c>
    </row>
    <row r="30" spans="1:6">
      <c r="A30" s="5">
        <v>46051</v>
      </c>
      <c r="B30" s="1">
        <v>2026</v>
      </c>
      <c r="C30" s="1">
        <v>1</v>
      </c>
      <c r="D30" s="1" t="s">
        <v>130</v>
      </c>
      <c r="E30" s="1" t="s">
        <v>131</v>
      </c>
      <c r="F30" s="1">
        <v>202601</v>
      </c>
    </row>
    <row r="31" spans="1:6">
      <c r="A31" s="5">
        <v>46052</v>
      </c>
      <c r="B31" s="1">
        <v>2026</v>
      </c>
      <c r="C31" s="1">
        <v>1</v>
      </c>
      <c r="D31" s="1" t="s">
        <v>130</v>
      </c>
      <c r="E31" s="1" t="s">
        <v>131</v>
      </c>
      <c r="F31" s="1">
        <v>202601</v>
      </c>
    </row>
    <row r="32" spans="1:6">
      <c r="A32" s="5">
        <v>46053</v>
      </c>
      <c r="B32" s="1">
        <v>2026</v>
      </c>
      <c r="C32" s="1">
        <v>1</v>
      </c>
      <c r="D32" s="1" t="s">
        <v>130</v>
      </c>
      <c r="E32" s="1" t="s">
        <v>131</v>
      </c>
      <c r="F32" s="1">
        <v>202601</v>
      </c>
    </row>
    <row r="33" spans="1:6">
      <c r="A33" s="5">
        <v>46054</v>
      </c>
      <c r="B33" s="1">
        <v>2026</v>
      </c>
      <c r="C33" s="1">
        <v>2</v>
      </c>
      <c r="D33" s="1" t="s">
        <v>132</v>
      </c>
      <c r="E33" s="1" t="s">
        <v>133</v>
      </c>
      <c r="F33" s="1">
        <v>202602</v>
      </c>
    </row>
    <row r="34" spans="1:6">
      <c r="A34" s="5">
        <v>46055</v>
      </c>
      <c r="B34" s="1">
        <v>2026</v>
      </c>
      <c r="C34" s="1">
        <v>2</v>
      </c>
      <c r="D34" s="1" t="s">
        <v>132</v>
      </c>
      <c r="E34" s="1" t="s">
        <v>133</v>
      </c>
      <c r="F34" s="1">
        <v>202602</v>
      </c>
    </row>
    <row r="35" spans="1:6">
      <c r="A35" s="5">
        <v>46056</v>
      </c>
      <c r="B35" s="1">
        <v>2026</v>
      </c>
      <c r="C35" s="1">
        <v>2</v>
      </c>
      <c r="D35" s="1" t="s">
        <v>132</v>
      </c>
      <c r="E35" s="1" t="s">
        <v>133</v>
      </c>
      <c r="F35" s="1">
        <v>202602</v>
      </c>
    </row>
    <row r="36" spans="1:6">
      <c r="A36" s="5">
        <v>46057</v>
      </c>
      <c r="B36" s="1">
        <v>2026</v>
      </c>
      <c r="C36" s="1">
        <v>2</v>
      </c>
      <c r="D36" s="1" t="s">
        <v>132</v>
      </c>
      <c r="E36" s="1" t="s">
        <v>133</v>
      </c>
      <c r="F36" s="1">
        <v>202602</v>
      </c>
    </row>
    <row r="37" spans="1:6">
      <c r="A37" s="5">
        <v>46058</v>
      </c>
      <c r="B37" s="1">
        <v>2026</v>
      </c>
      <c r="C37" s="1">
        <v>2</v>
      </c>
      <c r="D37" s="1" t="s">
        <v>132</v>
      </c>
      <c r="E37" s="1" t="s">
        <v>133</v>
      </c>
      <c r="F37" s="1">
        <v>202602</v>
      </c>
    </row>
    <row r="38" spans="1:6">
      <c r="A38" s="5">
        <v>46059</v>
      </c>
      <c r="B38" s="1">
        <v>2026</v>
      </c>
      <c r="C38" s="1">
        <v>2</v>
      </c>
      <c r="D38" s="1" t="s">
        <v>132</v>
      </c>
      <c r="E38" s="1" t="s">
        <v>133</v>
      </c>
      <c r="F38" s="1">
        <v>202602</v>
      </c>
    </row>
    <row r="39" spans="1:6">
      <c r="A39" s="5">
        <v>46060</v>
      </c>
      <c r="B39" s="1">
        <v>2026</v>
      </c>
      <c r="C39" s="1">
        <v>2</v>
      </c>
      <c r="D39" s="1" t="s">
        <v>132</v>
      </c>
      <c r="E39" s="1" t="s">
        <v>133</v>
      </c>
      <c r="F39" s="1">
        <v>202602</v>
      </c>
    </row>
    <row r="40" spans="1:6">
      <c r="A40" s="5">
        <v>46061</v>
      </c>
      <c r="B40" s="1">
        <v>2026</v>
      </c>
      <c r="C40" s="1">
        <v>2</v>
      </c>
      <c r="D40" s="1" t="s">
        <v>132</v>
      </c>
      <c r="E40" s="1" t="s">
        <v>133</v>
      </c>
      <c r="F40" s="1">
        <v>202602</v>
      </c>
    </row>
    <row r="41" spans="1:6">
      <c r="A41" s="5">
        <v>46062</v>
      </c>
      <c r="B41" s="1">
        <v>2026</v>
      </c>
      <c r="C41" s="1">
        <v>2</v>
      </c>
      <c r="D41" s="1" t="s">
        <v>132</v>
      </c>
      <c r="E41" s="1" t="s">
        <v>133</v>
      </c>
      <c r="F41" s="1">
        <v>202602</v>
      </c>
    </row>
    <row r="42" spans="1:6">
      <c r="A42" s="5">
        <v>46063</v>
      </c>
      <c r="B42" s="1">
        <v>2026</v>
      </c>
      <c r="C42" s="1">
        <v>2</v>
      </c>
      <c r="D42" s="1" t="s">
        <v>132</v>
      </c>
      <c r="E42" s="1" t="s">
        <v>133</v>
      </c>
      <c r="F42" s="1">
        <v>202602</v>
      </c>
    </row>
    <row r="43" spans="1:6">
      <c r="A43" s="5">
        <v>46064</v>
      </c>
      <c r="B43" s="1">
        <v>2026</v>
      </c>
      <c r="C43" s="1">
        <v>2</v>
      </c>
      <c r="D43" s="1" t="s">
        <v>132</v>
      </c>
      <c r="E43" s="1" t="s">
        <v>133</v>
      </c>
      <c r="F43" s="1">
        <v>202602</v>
      </c>
    </row>
    <row r="44" spans="1:6">
      <c r="A44" s="5">
        <v>46065</v>
      </c>
      <c r="B44" s="1">
        <v>2026</v>
      </c>
      <c r="C44" s="1">
        <v>2</v>
      </c>
      <c r="D44" s="1" t="s">
        <v>132</v>
      </c>
      <c r="E44" s="1" t="s">
        <v>133</v>
      </c>
      <c r="F44" s="1">
        <v>202602</v>
      </c>
    </row>
    <row r="45" spans="1:6">
      <c r="A45" s="5">
        <v>46066</v>
      </c>
      <c r="B45" s="1">
        <v>2026</v>
      </c>
      <c r="C45" s="1">
        <v>2</v>
      </c>
      <c r="D45" s="1" t="s">
        <v>132</v>
      </c>
      <c r="E45" s="1" t="s">
        <v>133</v>
      </c>
      <c r="F45" s="1">
        <v>202602</v>
      </c>
    </row>
    <row r="46" spans="1:6">
      <c r="A46" s="5">
        <v>46067</v>
      </c>
      <c r="B46" s="1">
        <v>2026</v>
      </c>
      <c r="C46" s="1">
        <v>2</v>
      </c>
      <c r="D46" s="1" t="s">
        <v>132</v>
      </c>
      <c r="E46" s="1" t="s">
        <v>133</v>
      </c>
      <c r="F46" s="1">
        <v>202602</v>
      </c>
    </row>
    <row r="47" spans="1:6">
      <c r="A47" s="5">
        <v>46068</v>
      </c>
      <c r="B47" s="1">
        <v>2026</v>
      </c>
      <c r="C47" s="1">
        <v>2</v>
      </c>
      <c r="D47" s="1" t="s">
        <v>132</v>
      </c>
      <c r="E47" s="1" t="s">
        <v>133</v>
      </c>
      <c r="F47" s="1">
        <v>202602</v>
      </c>
    </row>
    <row r="48" spans="1:6">
      <c r="A48" s="5">
        <v>46069</v>
      </c>
      <c r="B48" s="1">
        <v>2026</v>
      </c>
      <c r="C48" s="1">
        <v>2</v>
      </c>
      <c r="D48" s="1" t="s">
        <v>132</v>
      </c>
      <c r="E48" s="1" t="s">
        <v>133</v>
      </c>
      <c r="F48" s="1">
        <v>202602</v>
      </c>
    </row>
    <row r="49" spans="1:6">
      <c r="A49" s="5">
        <v>46070</v>
      </c>
      <c r="B49" s="1">
        <v>2026</v>
      </c>
      <c r="C49" s="1">
        <v>2</v>
      </c>
      <c r="D49" s="1" t="s">
        <v>132</v>
      </c>
      <c r="E49" s="1" t="s">
        <v>133</v>
      </c>
      <c r="F49" s="1">
        <v>202602</v>
      </c>
    </row>
    <row r="50" spans="1:6">
      <c r="A50" s="5">
        <v>46071</v>
      </c>
      <c r="B50" s="1">
        <v>2026</v>
      </c>
      <c r="C50" s="1">
        <v>2</v>
      </c>
      <c r="D50" s="1" t="s">
        <v>132</v>
      </c>
      <c r="E50" s="1" t="s">
        <v>133</v>
      </c>
      <c r="F50" s="1">
        <v>202602</v>
      </c>
    </row>
    <row r="51" spans="1:6">
      <c r="A51" s="5">
        <v>46072</v>
      </c>
      <c r="B51" s="1">
        <v>2026</v>
      </c>
      <c r="C51" s="1">
        <v>2</v>
      </c>
      <c r="D51" s="1" t="s">
        <v>132</v>
      </c>
      <c r="E51" s="1" t="s">
        <v>133</v>
      </c>
      <c r="F51" s="1">
        <v>202602</v>
      </c>
    </row>
    <row r="52" spans="1:6">
      <c r="A52" s="5">
        <v>46073</v>
      </c>
      <c r="B52" s="1">
        <v>2026</v>
      </c>
      <c r="C52" s="1">
        <v>2</v>
      </c>
      <c r="D52" s="1" t="s">
        <v>132</v>
      </c>
      <c r="E52" s="1" t="s">
        <v>133</v>
      </c>
      <c r="F52" s="1">
        <v>202602</v>
      </c>
    </row>
    <row r="53" spans="1:6">
      <c r="A53" s="5">
        <v>46074</v>
      </c>
      <c r="B53" s="1">
        <v>2026</v>
      </c>
      <c r="C53" s="1">
        <v>2</v>
      </c>
      <c r="D53" s="1" t="s">
        <v>132</v>
      </c>
      <c r="E53" s="1" t="s">
        <v>133</v>
      </c>
      <c r="F53" s="1">
        <v>202602</v>
      </c>
    </row>
    <row r="54" spans="1:6">
      <c r="A54" s="5">
        <v>46075</v>
      </c>
      <c r="B54" s="1">
        <v>2026</v>
      </c>
      <c r="C54" s="1">
        <v>2</v>
      </c>
      <c r="D54" s="1" t="s">
        <v>132</v>
      </c>
      <c r="E54" s="1" t="s">
        <v>133</v>
      </c>
      <c r="F54" s="1">
        <v>202602</v>
      </c>
    </row>
    <row r="55" spans="1:6">
      <c r="A55" s="5">
        <v>46076</v>
      </c>
      <c r="B55" s="1">
        <v>2026</v>
      </c>
      <c r="C55" s="1">
        <v>2</v>
      </c>
      <c r="D55" s="1" t="s">
        <v>132</v>
      </c>
      <c r="E55" s="1" t="s">
        <v>133</v>
      </c>
      <c r="F55" s="1">
        <v>202602</v>
      </c>
    </row>
    <row r="56" spans="1:6">
      <c r="A56" s="5">
        <v>46077</v>
      </c>
      <c r="B56" s="1">
        <v>2026</v>
      </c>
      <c r="C56" s="1">
        <v>2</v>
      </c>
      <c r="D56" s="1" t="s">
        <v>132</v>
      </c>
      <c r="E56" s="1" t="s">
        <v>133</v>
      </c>
      <c r="F56" s="1">
        <v>202602</v>
      </c>
    </row>
    <row r="57" spans="1:6">
      <c r="A57" s="5">
        <v>46078</v>
      </c>
      <c r="B57" s="1">
        <v>2026</v>
      </c>
      <c r="C57" s="1">
        <v>2</v>
      </c>
      <c r="D57" s="1" t="s">
        <v>132</v>
      </c>
      <c r="E57" s="1" t="s">
        <v>133</v>
      </c>
      <c r="F57" s="1">
        <v>202602</v>
      </c>
    </row>
    <row r="58" spans="1:6">
      <c r="A58" s="5">
        <v>46079</v>
      </c>
      <c r="B58" s="1">
        <v>2026</v>
      </c>
      <c r="C58" s="1">
        <v>2</v>
      </c>
      <c r="D58" s="1" t="s">
        <v>132</v>
      </c>
      <c r="E58" s="1" t="s">
        <v>133</v>
      </c>
      <c r="F58" s="1">
        <v>202602</v>
      </c>
    </row>
    <row r="59" spans="1:6">
      <c r="A59" s="5">
        <v>46080</v>
      </c>
      <c r="B59" s="1">
        <v>2026</v>
      </c>
      <c r="C59" s="1">
        <v>2</v>
      </c>
      <c r="D59" s="1" t="s">
        <v>132</v>
      </c>
      <c r="E59" s="1" t="s">
        <v>133</v>
      </c>
      <c r="F59" s="1">
        <v>202602</v>
      </c>
    </row>
    <row r="60" spans="1:6">
      <c r="A60" s="5">
        <v>46081</v>
      </c>
      <c r="B60" s="1">
        <v>2026</v>
      </c>
      <c r="C60" s="1">
        <v>2</v>
      </c>
      <c r="D60" s="1" t="s">
        <v>132</v>
      </c>
      <c r="E60" s="1" t="s">
        <v>133</v>
      </c>
      <c r="F60" s="1">
        <v>202602</v>
      </c>
    </row>
    <row r="61" spans="1:6">
      <c r="A61" s="5">
        <v>46082</v>
      </c>
      <c r="B61" s="1">
        <v>2026</v>
      </c>
      <c r="C61" s="1">
        <v>3</v>
      </c>
      <c r="D61" s="1" t="s">
        <v>134</v>
      </c>
      <c r="E61" s="1" t="s">
        <v>135</v>
      </c>
      <c r="F61" s="1">
        <v>202603</v>
      </c>
    </row>
    <row r="62" spans="1:6">
      <c r="A62" s="5">
        <v>46083</v>
      </c>
      <c r="B62" s="1">
        <v>2026</v>
      </c>
      <c r="C62" s="1">
        <v>3</v>
      </c>
      <c r="D62" s="1" t="s">
        <v>134</v>
      </c>
      <c r="E62" s="1" t="s">
        <v>135</v>
      </c>
      <c r="F62" s="1">
        <v>202603</v>
      </c>
    </row>
    <row r="63" spans="1:6">
      <c r="A63" s="5">
        <v>46084</v>
      </c>
      <c r="B63" s="1">
        <v>2026</v>
      </c>
      <c r="C63" s="1">
        <v>3</v>
      </c>
      <c r="D63" s="1" t="s">
        <v>134</v>
      </c>
      <c r="E63" s="1" t="s">
        <v>135</v>
      </c>
      <c r="F63" s="1">
        <v>202603</v>
      </c>
    </row>
    <row r="64" spans="1:6">
      <c r="A64" s="5">
        <v>46085</v>
      </c>
      <c r="B64" s="1">
        <v>2026</v>
      </c>
      <c r="C64" s="1">
        <v>3</v>
      </c>
      <c r="D64" s="1" t="s">
        <v>134</v>
      </c>
      <c r="E64" s="1" t="s">
        <v>135</v>
      </c>
      <c r="F64" s="1">
        <v>202603</v>
      </c>
    </row>
    <row r="65" spans="1:6">
      <c r="A65" s="5">
        <v>46086</v>
      </c>
      <c r="B65" s="1">
        <v>2026</v>
      </c>
      <c r="C65" s="1">
        <v>3</v>
      </c>
      <c r="D65" s="1" t="s">
        <v>134</v>
      </c>
      <c r="E65" s="1" t="s">
        <v>135</v>
      </c>
      <c r="F65" s="1">
        <v>202603</v>
      </c>
    </row>
    <row r="66" spans="1:6">
      <c r="A66" s="5">
        <v>46087</v>
      </c>
      <c r="B66" s="1">
        <v>2026</v>
      </c>
      <c r="C66" s="1">
        <v>3</v>
      </c>
      <c r="D66" s="1" t="s">
        <v>134</v>
      </c>
      <c r="E66" s="1" t="s">
        <v>135</v>
      </c>
      <c r="F66" s="1">
        <v>202603</v>
      </c>
    </row>
    <row r="67" spans="1:6">
      <c r="A67" s="5">
        <v>46088</v>
      </c>
      <c r="B67" s="1">
        <v>2026</v>
      </c>
      <c r="C67" s="1">
        <v>3</v>
      </c>
      <c r="D67" s="1" t="s">
        <v>134</v>
      </c>
      <c r="E67" s="1" t="s">
        <v>135</v>
      </c>
      <c r="F67" s="1">
        <v>202603</v>
      </c>
    </row>
    <row r="68" spans="1:6">
      <c r="A68" s="5">
        <v>46089</v>
      </c>
      <c r="B68" s="1">
        <v>2026</v>
      </c>
      <c r="C68" s="1">
        <v>3</v>
      </c>
      <c r="D68" s="1" t="s">
        <v>134</v>
      </c>
      <c r="E68" s="1" t="s">
        <v>135</v>
      </c>
      <c r="F68" s="1">
        <v>202603</v>
      </c>
    </row>
    <row r="69" spans="1:6">
      <c r="A69" s="5">
        <v>46090</v>
      </c>
      <c r="B69" s="1">
        <v>2026</v>
      </c>
      <c r="C69" s="1">
        <v>3</v>
      </c>
      <c r="D69" s="1" t="s">
        <v>134</v>
      </c>
      <c r="E69" s="1" t="s">
        <v>135</v>
      </c>
      <c r="F69" s="1">
        <v>202603</v>
      </c>
    </row>
    <row r="70" spans="1:6">
      <c r="A70" s="5">
        <v>46091</v>
      </c>
      <c r="B70" s="1">
        <v>2026</v>
      </c>
      <c r="C70" s="1">
        <v>3</v>
      </c>
      <c r="D70" s="1" t="s">
        <v>134</v>
      </c>
      <c r="E70" s="1" t="s">
        <v>135</v>
      </c>
      <c r="F70" s="1">
        <v>202603</v>
      </c>
    </row>
    <row r="71" spans="1:6">
      <c r="A71" s="5">
        <v>46092</v>
      </c>
      <c r="B71" s="1">
        <v>2026</v>
      </c>
      <c r="C71" s="1">
        <v>3</v>
      </c>
      <c r="D71" s="1" t="s">
        <v>134</v>
      </c>
      <c r="E71" s="1" t="s">
        <v>135</v>
      </c>
      <c r="F71" s="1">
        <v>202603</v>
      </c>
    </row>
    <row r="72" spans="1:6">
      <c r="A72" s="5">
        <v>46093</v>
      </c>
      <c r="B72" s="1">
        <v>2026</v>
      </c>
      <c r="C72" s="1">
        <v>3</v>
      </c>
      <c r="D72" s="1" t="s">
        <v>134</v>
      </c>
      <c r="E72" s="1" t="s">
        <v>135</v>
      </c>
      <c r="F72" s="1">
        <v>202603</v>
      </c>
    </row>
    <row r="73" spans="1:6">
      <c r="A73" s="5">
        <v>46094</v>
      </c>
      <c r="B73" s="1">
        <v>2026</v>
      </c>
      <c r="C73" s="1">
        <v>3</v>
      </c>
      <c r="D73" s="1" t="s">
        <v>134</v>
      </c>
      <c r="E73" s="1" t="s">
        <v>135</v>
      </c>
      <c r="F73" s="1">
        <v>202603</v>
      </c>
    </row>
    <row r="74" spans="1:6">
      <c r="A74" s="5">
        <v>46095</v>
      </c>
      <c r="B74" s="1">
        <v>2026</v>
      </c>
      <c r="C74" s="1">
        <v>3</v>
      </c>
      <c r="D74" s="1" t="s">
        <v>134</v>
      </c>
      <c r="E74" s="1" t="s">
        <v>135</v>
      </c>
      <c r="F74" s="1">
        <v>202603</v>
      </c>
    </row>
    <row r="75" spans="1:6">
      <c r="A75" s="5">
        <v>46096</v>
      </c>
      <c r="B75" s="1">
        <v>2026</v>
      </c>
      <c r="C75" s="1">
        <v>3</v>
      </c>
      <c r="D75" s="1" t="s">
        <v>134</v>
      </c>
      <c r="E75" s="1" t="s">
        <v>135</v>
      </c>
      <c r="F75" s="1">
        <v>202603</v>
      </c>
    </row>
    <row r="76" spans="1:6">
      <c r="A76" s="5">
        <v>46097</v>
      </c>
      <c r="B76" s="1">
        <v>2026</v>
      </c>
      <c r="C76" s="1">
        <v>3</v>
      </c>
      <c r="D76" s="1" t="s">
        <v>134</v>
      </c>
      <c r="E76" s="1" t="s">
        <v>135</v>
      </c>
      <c r="F76" s="1">
        <v>202603</v>
      </c>
    </row>
    <row r="77" spans="1:6">
      <c r="A77" s="5">
        <v>46098</v>
      </c>
      <c r="B77" s="1">
        <v>2026</v>
      </c>
      <c r="C77" s="1">
        <v>3</v>
      </c>
      <c r="D77" s="1" t="s">
        <v>134</v>
      </c>
      <c r="E77" s="1" t="s">
        <v>135</v>
      </c>
      <c r="F77" s="1">
        <v>202603</v>
      </c>
    </row>
    <row r="78" spans="1:6">
      <c r="A78" s="5">
        <v>46099</v>
      </c>
      <c r="B78" s="1">
        <v>2026</v>
      </c>
      <c r="C78" s="1">
        <v>3</v>
      </c>
      <c r="D78" s="1" t="s">
        <v>134</v>
      </c>
      <c r="E78" s="1" t="s">
        <v>135</v>
      </c>
      <c r="F78" s="1">
        <v>202603</v>
      </c>
    </row>
    <row r="79" spans="1:6">
      <c r="A79" s="5">
        <v>46100</v>
      </c>
      <c r="B79" s="1">
        <v>2026</v>
      </c>
      <c r="C79" s="1">
        <v>3</v>
      </c>
      <c r="D79" s="1" t="s">
        <v>134</v>
      </c>
      <c r="E79" s="1" t="s">
        <v>135</v>
      </c>
      <c r="F79" s="1">
        <v>202603</v>
      </c>
    </row>
    <row r="80" spans="1:6">
      <c r="A80" s="5">
        <v>46101</v>
      </c>
      <c r="B80" s="1">
        <v>2026</v>
      </c>
      <c r="C80" s="1">
        <v>3</v>
      </c>
      <c r="D80" s="1" t="s">
        <v>134</v>
      </c>
      <c r="E80" s="1" t="s">
        <v>135</v>
      </c>
      <c r="F80" s="1">
        <v>202603</v>
      </c>
    </row>
    <row r="81" spans="1:6">
      <c r="A81" s="5">
        <v>46102</v>
      </c>
      <c r="B81" s="1">
        <v>2026</v>
      </c>
      <c r="C81" s="1">
        <v>3</v>
      </c>
      <c r="D81" s="1" t="s">
        <v>134</v>
      </c>
      <c r="E81" s="1" t="s">
        <v>135</v>
      </c>
      <c r="F81" s="1">
        <v>202603</v>
      </c>
    </row>
    <row r="82" spans="1:6">
      <c r="A82" s="5">
        <v>46103</v>
      </c>
      <c r="B82" s="1">
        <v>2026</v>
      </c>
      <c r="C82" s="1">
        <v>3</v>
      </c>
      <c r="D82" s="1" t="s">
        <v>134</v>
      </c>
      <c r="E82" s="1" t="s">
        <v>135</v>
      </c>
      <c r="F82" s="1">
        <v>202603</v>
      </c>
    </row>
    <row r="83" spans="1:6">
      <c r="A83" s="5">
        <v>46104</v>
      </c>
      <c r="B83" s="1">
        <v>2026</v>
      </c>
      <c r="C83" s="1">
        <v>3</v>
      </c>
      <c r="D83" s="1" t="s">
        <v>134</v>
      </c>
      <c r="E83" s="1" t="s">
        <v>135</v>
      </c>
      <c r="F83" s="1">
        <v>202603</v>
      </c>
    </row>
    <row r="84" spans="1:6">
      <c r="A84" s="5">
        <v>46105</v>
      </c>
      <c r="B84" s="1">
        <v>2026</v>
      </c>
      <c r="C84" s="1">
        <v>3</v>
      </c>
      <c r="D84" s="1" t="s">
        <v>134</v>
      </c>
      <c r="E84" s="1" t="s">
        <v>135</v>
      </c>
      <c r="F84" s="1">
        <v>202603</v>
      </c>
    </row>
    <row r="85" spans="1:6">
      <c r="A85" s="5">
        <v>46106</v>
      </c>
      <c r="B85" s="1">
        <v>2026</v>
      </c>
      <c r="C85" s="1">
        <v>3</v>
      </c>
      <c r="D85" s="1" t="s">
        <v>134</v>
      </c>
      <c r="E85" s="1" t="s">
        <v>135</v>
      </c>
      <c r="F85" s="1">
        <v>202603</v>
      </c>
    </row>
    <row r="86" spans="1:6">
      <c r="A86" s="5">
        <v>46107</v>
      </c>
      <c r="B86" s="1">
        <v>2026</v>
      </c>
      <c r="C86" s="1">
        <v>3</v>
      </c>
      <c r="D86" s="1" t="s">
        <v>134</v>
      </c>
      <c r="E86" s="1" t="s">
        <v>135</v>
      </c>
      <c r="F86" s="1">
        <v>202603</v>
      </c>
    </row>
    <row r="87" spans="1:6">
      <c r="A87" s="5">
        <v>46108</v>
      </c>
      <c r="B87" s="1">
        <v>2026</v>
      </c>
      <c r="C87" s="1">
        <v>3</v>
      </c>
      <c r="D87" s="1" t="s">
        <v>134</v>
      </c>
      <c r="E87" s="1" t="s">
        <v>135</v>
      </c>
      <c r="F87" s="1">
        <v>202603</v>
      </c>
    </row>
    <row r="88" spans="1:6">
      <c r="A88" s="5">
        <v>46109</v>
      </c>
      <c r="B88" s="1">
        <v>2026</v>
      </c>
      <c r="C88" s="1">
        <v>3</v>
      </c>
      <c r="D88" s="1" t="s">
        <v>134</v>
      </c>
      <c r="E88" s="1" t="s">
        <v>135</v>
      </c>
      <c r="F88" s="1">
        <v>202603</v>
      </c>
    </row>
    <row r="89" spans="1:6">
      <c r="A89" s="5">
        <v>46110</v>
      </c>
      <c r="B89" s="1">
        <v>2026</v>
      </c>
      <c r="C89" s="1">
        <v>3</v>
      </c>
      <c r="D89" s="1" t="s">
        <v>134</v>
      </c>
      <c r="E89" s="1" t="s">
        <v>135</v>
      </c>
      <c r="F89" s="1">
        <v>202603</v>
      </c>
    </row>
    <row r="90" spans="1:6">
      <c r="A90" s="5">
        <v>46111</v>
      </c>
      <c r="B90" s="1">
        <v>2026</v>
      </c>
      <c r="C90" s="1">
        <v>3</v>
      </c>
      <c r="D90" s="1" t="s">
        <v>134</v>
      </c>
      <c r="E90" s="1" t="s">
        <v>135</v>
      </c>
      <c r="F90" s="1">
        <v>202603</v>
      </c>
    </row>
    <row r="91" spans="1:6">
      <c r="A91" s="5">
        <v>46112</v>
      </c>
      <c r="B91" s="1">
        <v>2026</v>
      </c>
      <c r="C91" s="1">
        <v>3</v>
      </c>
      <c r="D91" s="1" t="s">
        <v>134</v>
      </c>
      <c r="E91" s="1" t="s">
        <v>135</v>
      </c>
      <c r="F91" s="1">
        <v>202603</v>
      </c>
    </row>
    <row r="92" spans="1:6">
      <c r="A92" s="5">
        <v>46113</v>
      </c>
      <c r="B92" s="1">
        <v>2026</v>
      </c>
      <c r="C92" s="1">
        <v>4</v>
      </c>
      <c r="D92" s="1" t="s">
        <v>136</v>
      </c>
      <c r="E92" s="1" t="s">
        <v>137</v>
      </c>
      <c r="F92" s="1">
        <v>202604</v>
      </c>
    </row>
    <row r="93" spans="1:6">
      <c r="A93" s="5">
        <v>46114</v>
      </c>
      <c r="B93" s="1">
        <v>2026</v>
      </c>
      <c r="C93" s="1">
        <v>4</v>
      </c>
      <c r="D93" s="1" t="s">
        <v>136</v>
      </c>
      <c r="E93" s="1" t="s">
        <v>137</v>
      </c>
      <c r="F93" s="1">
        <v>202604</v>
      </c>
    </row>
    <row r="94" spans="1:6">
      <c r="A94" s="5">
        <v>46115</v>
      </c>
      <c r="B94" s="1">
        <v>2026</v>
      </c>
      <c r="C94" s="1">
        <v>4</v>
      </c>
      <c r="D94" s="1" t="s">
        <v>136</v>
      </c>
      <c r="E94" s="1" t="s">
        <v>137</v>
      </c>
      <c r="F94" s="1">
        <v>202604</v>
      </c>
    </row>
    <row r="95" spans="1:6">
      <c r="A95" s="5">
        <v>46116</v>
      </c>
      <c r="B95" s="1">
        <v>2026</v>
      </c>
      <c r="C95" s="1">
        <v>4</v>
      </c>
      <c r="D95" s="1" t="s">
        <v>136</v>
      </c>
      <c r="E95" s="1" t="s">
        <v>137</v>
      </c>
      <c r="F95" s="1">
        <v>202604</v>
      </c>
    </row>
    <row r="96" spans="1:6">
      <c r="A96" s="5">
        <v>46117</v>
      </c>
      <c r="B96" s="1">
        <v>2026</v>
      </c>
      <c r="C96" s="1">
        <v>4</v>
      </c>
      <c r="D96" s="1" t="s">
        <v>136</v>
      </c>
      <c r="E96" s="1" t="s">
        <v>137</v>
      </c>
      <c r="F96" s="1">
        <v>202604</v>
      </c>
    </row>
    <row r="97" spans="1:6">
      <c r="A97" s="5">
        <v>46118</v>
      </c>
      <c r="B97" s="1">
        <v>2026</v>
      </c>
      <c r="C97" s="1">
        <v>4</v>
      </c>
      <c r="D97" s="1" t="s">
        <v>136</v>
      </c>
      <c r="E97" s="1" t="s">
        <v>137</v>
      </c>
      <c r="F97" s="1">
        <v>202604</v>
      </c>
    </row>
    <row r="98" spans="1:6">
      <c r="A98" s="5">
        <v>46119</v>
      </c>
      <c r="B98" s="1">
        <v>2026</v>
      </c>
      <c r="C98" s="1">
        <v>4</v>
      </c>
      <c r="D98" s="1" t="s">
        <v>136</v>
      </c>
      <c r="E98" s="1" t="s">
        <v>137</v>
      </c>
      <c r="F98" s="1">
        <v>202604</v>
      </c>
    </row>
    <row r="99" spans="1:6">
      <c r="A99" s="5">
        <v>46120</v>
      </c>
      <c r="B99" s="1">
        <v>2026</v>
      </c>
      <c r="C99" s="1">
        <v>4</v>
      </c>
      <c r="D99" s="1" t="s">
        <v>136</v>
      </c>
      <c r="E99" s="1" t="s">
        <v>137</v>
      </c>
      <c r="F99" s="1">
        <v>202604</v>
      </c>
    </row>
    <row r="100" spans="1:6">
      <c r="A100" s="5">
        <v>46121</v>
      </c>
      <c r="B100" s="1">
        <v>2026</v>
      </c>
      <c r="C100" s="1">
        <v>4</v>
      </c>
      <c r="D100" s="1" t="s">
        <v>136</v>
      </c>
      <c r="E100" s="1" t="s">
        <v>137</v>
      </c>
      <c r="F100" s="1">
        <v>202604</v>
      </c>
    </row>
    <row r="101" spans="1:6">
      <c r="A101" s="5">
        <v>46122</v>
      </c>
      <c r="B101" s="1">
        <v>2026</v>
      </c>
      <c r="C101" s="1">
        <v>4</v>
      </c>
      <c r="D101" s="1" t="s">
        <v>136</v>
      </c>
      <c r="E101" s="1" t="s">
        <v>137</v>
      </c>
      <c r="F101" s="1">
        <v>202604</v>
      </c>
    </row>
    <row r="102" spans="1:6">
      <c r="A102" s="5">
        <v>46123</v>
      </c>
      <c r="B102" s="1">
        <v>2026</v>
      </c>
      <c r="C102" s="1">
        <v>4</v>
      </c>
      <c r="D102" s="1" t="s">
        <v>136</v>
      </c>
      <c r="E102" s="1" t="s">
        <v>137</v>
      </c>
      <c r="F102" s="1">
        <v>202604</v>
      </c>
    </row>
    <row r="103" spans="1:6">
      <c r="A103" s="5">
        <v>46124</v>
      </c>
      <c r="B103" s="1">
        <v>2026</v>
      </c>
      <c r="C103" s="1">
        <v>4</v>
      </c>
      <c r="D103" s="1" t="s">
        <v>136</v>
      </c>
      <c r="E103" s="1" t="s">
        <v>137</v>
      </c>
      <c r="F103" s="1">
        <v>202604</v>
      </c>
    </row>
    <row r="104" spans="1:6">
      <c r="A104" s="5">
        <v>46125</v>
      </c>
      <c r="B104" s="1">
        <v>2026</v>
      </c>
      <c r="C104" s="1">
        <v>4</v>
      </c>
      <c r="D104" s="1" t="s">
        <v>136</v>
      </c>
      <c r="E104" s="1" t="s">
        <v>137</v>
      </c>
      <c r="F104" s="1">
        <v>202604</v>
      </c>
    </row>
    <row r="105" spans="1:6">
      <c r="A105" s="5">
        <v>46126</v>
      </c>
      <c r="B105" s="1">
        <v>2026</v>
      </c>
      <c r="C105" s="1">
        <v>4</v>
      </c>
      <c r="D105" s="1" t="s">
        <v>136</v>
      </c>
      <c r="E105" s="1" t="s">
        <v>137</v>
      </c>
      <c r="F105" s="1">
        <v>202604</v>
      </c>
    </row>
    <row r="106" spans="1:6">
      <c r="A106" s="5">
        <v>46127</v>
      </c>
      <c r="B106" s="1">
        <v>2026</v>
      </c>
      <c r="C106" s="1">
        <v>4</v>
      </c>
      <c r="D106" s="1" t="s">
        <v>136</v>
      </c>
      <c r="E106" s="1" t="s">
        <v>137</v>
      </c>
      <c r="F106" s="1">
        <v>202604</v>
      </c>
    </row>
    <row r="107" spans="1:6">
      <c r="A107" s="5">
        <v>46128</v>
      </c>
      <c r="B107" s="1">
        <v>2026</v>
      </c>
      <c r="C107" s="1">
        <v>4</v>
      </c>
      <c r="D107" s="1" t="s">
        <v>136</v>
      </c>
      <c r="E107" s="1" t="s">
        <v>137</v>
      </c>
      <c r="F107" s="1">
        <v>202604</v>
      </c>
    </row>
    <row r="108" spans="1:6">
      <c r="A108" s="5">
        <v>46129</v>
      </c>
      <c r="B108" s="1">
        <v>2026</v>
      </c>
      <c r="C108" s="1">
        <v>4</v>
      </c>
      <c r="D108" s="1" t="s">
        <v>136</v>
      </c>
      <c r="E108" s="1" t="s">
        <v>137</v>
      </c>
      <c r="F108" s="1">
        <v>202604</v>
      </c>
    </row>
    <row r="109" spans="1:6">
      <c r="A109" s="5">
        <v>46130</v>
      </c>
      <c r="B109" s="1">
        <v>2026</v>
      </c>
      <c r="C109" s="1">
        <v>4</v>
      </c>
      <c r="D109" s="1" t="s">
        <v>136</v>
      </c>
      <c r="E109" s="1" t="s">
        <v>137</v>
      </c>
      <c r="F109" s="1">
        <v>202604</v>
      </c>
    </row>
    <row r="110" spans="1:6">
      <c r="A110" s="5">
        <v>46131</v>
      </c>
      <c r="B110" s="1">
        <v>2026</v>
      </c>
      <c r="C110" s="1">
        <v>4</v>
      </c>
      <c r="D110" s="1" t="s">
        <v>136</v>
      </c>
      <c r="E110" s="1" t="s">
        <v>137</v>
      </c>
      <c r="F110" s="1">
        <v>202604</v>
      </c>
    </row>
    <row r="111" spans="1:6">
      <c r="A111" s="5">
        <v>46132</v>
      </c>
      <c r="B111" s="1">
        <v>2026</v>
      </c>
      <c r="C111" s="1">
        <v>4</v>
      </c>
      <c r="D111" s="1" t="s">
        <v>136</v>
      </c>
      <c r="E111" s="1" t="s">
        <v>137</v>
      </c>
      <c r="F111" s="1">
        <v>202604</v>
      </c>
    </row>
    <row r="112" spans="1:6">
      <c r="A112" s="5">
        <v>46133</v>
      </c>
      <c r="B112" s="1">
        <v>2026</v>
      </c>
      <c r="C112" s="1">
        <v>4</v>
      </c>
      <c r="D112" s="1" t="s">
        <v>136</v>
      </c>
      <c r="E112" s="1" t="s">
        <v>137</v>
      </c>
      <c r="F112" s="1">
        <v>202604</v>
      </c>
    </row>
    <row r="113" spans="1:6">
      <c r="A113" s="5">
        <v>46134</v>
      </c>
      <c r="B113" s="1">
        <v>2026</v>
      </c>
      <c r="C113" s="1">
        <v>4</v>
      </c>
      <c r="D113" s="1" t="s">
        <v>136</v>
      </c>
      <c r="E113" s="1" t="s">
        <v>137</v>
      </c>
      <c r="F113" s="1">
        <v>202604</v>
      </c>
    </row>
    <row r="114" spans="1:6">
      <c r="A114" s="5">
        <v>46135</v>
      </c>
      <c r="B114" s="1">
        <v>2026</v>
      </c>
      <c r="C114" s="1">
        <v>4</v>
      </c>
      <c r="D114" s="1" t="s">
        <v>136</v>
      </c>
      <c r="E114" s="1" t="s">
        <v>137</v>
      </c>
      <c r="F114" s="1">
        <v>202604</v>
      </c>
    </row>
    <row r="115" spans="1:6">
      <c r="A115" s="5">
        <v>46136</v>
      </c>
      <c r="B115" s="1">
        <v>2026</v>
      </c>
      <c r="C115" s="1">
        <v>4</v>
      </c>
      <c r="D115" s="1" t="s">
        <v>136</v>
      </c>
      <c r="E115" s="1" t="s">
        <v>137</v>
      </c>
      <c r="F115" s="1">
        <v>202604</v>
      </c>
    </row>
    <row r="116" spans="1:6">
      <c r="A116" s="5">
        <v>46137</v>
      </c>
      <c r="B116" s="1">
        <v>2026</v>
      </c>
      <c r="C116" s="1">
        <v>4</v>
      </c>
      <c r="D116" s="1" t="s">
        <v>136</v>
      </c>
      <c r="E116" s="1" t="s">
        <v>137</v>
      </c>
      <c r="F116" s="1">
        <v>202604</v>
      </c>
    </row>
    <row r="117" spans="1:6">
      <c r="A117" s="5">
        <v>46138</v>
      </c>
      <c r="B117" s="1">
        <v>2026</v>
      </c>
      <c r="C117" s="1">
        <v>4</v>
      </c>
      <c r="D117" s="1" t="s">
        <v>136</v>
      </c>
      <c r="E117" s="1" t="s">
        <v>137</v>
      </c>
      <c r="F117" s="1">
        <v>202604</v>
      </c>
    </row>
    <row r="118" spans="1:6">
      <c r="A118" s="5">
        <v>46139</v>
      </c>
      <c r="B118" s="1">
        <v>2026</v>
      </c>
      <c r="C118" s="1">
        <v>4</v>
      </c>
      <c r="D118" s="1" t="s">
        <v>136</v>
      </c>
      <c r="E118" s="1" t="s">
        <v>137</v>
      </c>
      <c r="F118" s="1">
        <v>202604</v>
      </c>
    </row>
    <row r="119" spans="1:6">
      <c r="A119" s="5">
        <v>46140</v>
      </c>
      <c r="B119" s="1">
        <v>2026</v>
      </c>
      <c r="C119" s="1">
        <v>4</v>
      </c>
      <c r="D119" s="1" t="s">
        <v>136</v>
      </c>
      <c r="E119" s="1" t="s">
        <v>137</v>
      </c>
      <c r="F119" s="1">
        <v>202604</v>
      </c>
    </row>
    <row r="120" spans="1:6">
      <c r="A120" s="5">
        <v>46141</v>
      </c>
      <c r="B120" s="1">
        <v>2026</v>
      </c>
      <c r="C120" s="1">
        <v>4</v>
      </c>
      <c r="D120" s="1" t="s">
        <v>136</v>
      </c>
      <c r="E120" s="1" t="s">
        <v>137</v>
      </c>
      <c r="F120" s="1">
        <v>202604</v>
      </c>
    </row>
    <row r="121" spans="1:6">
      <c r="A121" s="5">
        <v>46142</v>
      </c>
      <c r="B121" s="1">
        <v>2026</v>
      </c>
      <c r="C121" s="1">
        <v>4</v>
      </c>
      <c r="D121" s="1" t="s">
        <v>136</v>
      </c>
      <c r="E121" s="1" t="s">
        <v>137</v>
      </c>
      <c r="F121" s="1">
        <v>202604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showGridLines="0" zoomScale="190" zoomScaleNormal="190" workbookViewId="0">
      <pane ySplit="1" topLeftCell="A2" activePane="bottomLeft" state="frozen"/>
      <selection pane="bottomLeft"/>
    </sheetView>
  </sheetViews>
  <sheetFormatPr defaultRowHeight="14.25"/>
  <cols>
    <col min="1" max="1" width="12" customWidth="1"/>
    <col min="2" max="2" width="16" customWidth="1"/>
  </cols>
  <sheetData>
    <row r="1" spans="1:2" ht="30" customHeight="1">
      <c r="A1" s="2" t="s">
        <v>16</v>
      </c>
      <c r="B1" s="2" t="s">
        <v>138</v>
      </c>
    </row>
    <row r="2" spans="1:2">
      <c r="A2" s="1" t="s">
        <v>22</v>
      </c>
      <c r="B2" s="1" t="s">
        <v>139</v>
      </c>
    </row>
    <row r="3" spans="1:2">
      <c r="A3" s="1" t="s">
        <v>26</v>
      </c>
      <c r="B3" s="1" t="s">
        <v>140</v>
      </c>
    </row>
    <row r="4" spans="1:2">
      <c r="A4" s="1" t="s">
        <v>30</v>
      </c>
      <c r="B4" s="1" t="s">
        <v>141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</sheetPr>
  <dimension ref="A1:B4"/>
  <sheetViews>
    <sheetView showGridLines="0" zoomScale="190" zoomScaleNormal="190" workbookViewId="0">
      <pane ySplit="1" topLeftCell="A2" activePane="bottomLeft" state="frozen"/>
      <selection pane="bottomLeft" activeCell="B6" sqref="B6"/>
    </sheetView>
  </sheetViews>
  <sheetFormatPr defaultRowHeight="14.25"/>
  <cols>
    <col min="1" max="1" width="12" customWidth="1"/>
    <col min="2" max="2" width="16" customWidth="1"/>
  </cols>
  <sheetData>
    <row r="1" spans="1:2" ht="30" customHeight="1">
      <c r="A1" s="2" t="s">
        <v>16</v>
      </c>
      <c r="B1" s="2" t="s">
        <v>138</v>
      </c>
    </row>
    <row r="2" spans="1:2">
      <c r="A2" s="4" t="s">
        <v>142</v>
      </c>
      <c r="B2" s="1" t="s">
        <v>139</v>
      </c>
    </row>
    <row r="3" spans="1:2">
      <c r="A3" s="4" t="s">
        <v>143</v>
      </c>
      <c r="B3" s="1" t="s">
        <v>140</v>
      </c>
    </row>
    <row r="4" spans="1:2">
      <c r="A4" s="4" t="s">
        <v>144</v>
      </c>
      <c r="B4" s="1" t="s">
        <v>141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D9"/>
  <sheetViews>
    <sheetView showGridLines="0" workbookViewId="0"/>
  </sheetViews>
  <sheetFormatPr defaultRowHeight="14.25"/>
  <cols>
    <col min="1" max="1" width="31" customWidth="1"/>
    <col min="2" max="2" width="20" customWidth="1"/>
    <col min="3" max="3" width="14" customWidth="1"/>
    <col min="4" max="4" width="13" customWidth="1"/>
  </cols>
  <sheetData>
    <row r="1" spans="1:4" ht="27.95" customHeight="1">
      <c r="A1" s="8" t="s">
        <v>145</v>
      </c>
      <c r="B1" s="8"/>
      <c r="C1" s="8"/>
      <c r="D1" s="8"/>
    </row>
    <row r="3" spans="1:4" ht="25.5">
      <c r="A3" s="2" t="s">
        <v>146</v>
      </c>
      <c r="B3" s="2" t="s">
        <v>147</v>
      </c>
      <c r="C3" s="2" t="s">
        <v>148</v>
      </c>
      <c r="D3" s="2" t="s">
        <v>149</v>
      </c>
    </row>
    <row r="4" spans="1:4">
      <c r="A4" s="1" t="s">
        <v>150</v>
      </c>
      <c r="B4" s="3">
        <f>COUNTA(Продажи!A2:A81)</f>
        <v>80</v>
      </c>
      <c r="C4" s="3">
        <v>80</v>
      </c>
      <c r="D4" s="3">
        <f t="shared" ref="D4:D9" si="0">B4-C4</f>
        <v>0</v>
      </c>
    </row>
    <row r="5" spans="1:4">
      <c r="A5" s="1" t="s">
        <v>151</v>
      </c>
      <c r="B5" s="3">
        <f>COUNTIF(Продажи!C2:C81,"P006")</f>
        <v>0</v>
      </c>
      <c r="C5" s="3">
        <v>0</v>
      </c>
      <c r="D5" s="3">
        <f t="shared" si="0"/>
        <v>0</v>
      </c>
    </row>
    <row r="6" spans="1:4">
      <c r="A6" s="1" t="s">
        <v>152</v>
      </c>
      <c r="B6" s="3">
        <f>COUNTIF(Продажи!E2:E81,"Опт")</f>
        <v>0</v>
      </c>
      <c r="C6" s="3">
        <v>0</v>
      </c>
      <c r="D6" s="3">
        <f t="shared" si="0"/>
        <v>0</v>
      </c>
    </row>
    <row r="7" spans="1:4">
      <c r="A7" s="1" t="s">
        <v>153</v>
      </c>
      <c r="B7" s="3">
        <f>COUNTBLANK(Товары!D2:D7)</f>
        <v>1</v>
      </c>
      <c r="C7" s="3">
        <v>1</v>
      </c>
      <c r="D7" s="3">
        <f t="shared" si="0"/>
        <v>0</v>
      </c>
    </row>
    <row r="8" spans="1:4">
      <c r="A8" s="1" t="s">
        <v>154</v>
      </c>
      <c r="B8" s="3">
        <f>COUNTIF(Продажи!D2:D81,"X01")+COUNTIF(Продажи!D2:D81,"X02")+COUNTIF(Продажи!D2:D81,"X03")</f>
        <v>0</v>
      </c>
      <c r="C8" s="3">
        <v>0</v>
      </c>
      <c r="D8" s="3">
        <f t="shared" si="0"/>
        <v>0</v>
      </c>
    </row>
    <row r="9" spans="1:4">
      <c r="A9" s="1" t="s">
        <v>155</v>
      </c>
      <c r="B9" s="3">
        <f>COUNTIF(Продажи!D2:D81,"R01")+COUNTIF(Продажи!D2:D81,"R02")+COUNTIF(Продажи!D2:D81,"R03")</f>
        <v>80</v>
      </c>
      <c r="C9" s="3">
        <v>80</v>
      </c>
      <c r="D9" s="3">
        <f t="shared" si="0"/>
        <v>0</v>
      </c>
    </row>
  </sheetData>
  <mergeCells count="1">
    <mergeCell ref="A1:D1"/>
  </mergeCells>
  <conditionalFormatting sqref="D4:D9">
    <cfRule type="cellIs" dxfId="0" priority="1" operator="notEqual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Как использовать</vt:lpstr>
      <vt:lpstr>Продажи</vt:lpstr>
      <vt:lpstr>Товары</vt:lpstr>
      <vt:lpstr>Календарь</vt:lpstr>
      <vt:lpstr>Регионы</vt:lpstr>
      <vt:lpstr>Регионы ошибка</vt:lpstr>
      <vt:lpstr>Проверка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Renat Lotfullin</cp:lastModifiedBy>
  <dcterms:modified xsi:type="dcterms:W3CDTF">2026-09-15T12:04:43Z</dcterms:modified>
</cp:coreProperties>
</file>